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13_ncr:1_{D87DA88C-D957-4383-B2F8-550877D2D32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5" i="2" l="1"/>
  <c r="G52" i="2" s="1"/>
  <c r="C60" i="2"/>
</calcChain>
</file>

<file path=xl/sharedStrings.xml><?xml version="1.0" encoding="utf-8"?>
<sst xmlns="http://schemas.openxmlformats.org/spreadsheetml/2006/main" count="168" uniqueCount="63">
  <si>
    <t>Cartola Histórica de Cuenta Corriente</t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</si>
  <si>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</si>
  <si>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</si>
  <si>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</si>
  <si>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</si>
  <si>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</si>
  <si>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</si>
  <si>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</si>
  <si>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</si>
  <si>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</si>
  <si>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</si>
  <si>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</si>
  <si>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</si>
  <si>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</si>
  <si>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</si>
  <si>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</si>
  <si>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</si>
  <si>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</si>
  <si>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</si>
  <si>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</si>
  <si>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</si>
  <si>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</si>
  <si>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</si>
  <si>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</si>
  <si>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</si>
  <si>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</si>
  <si>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</si>
  <si>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</si>
  <si>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20-03-2020  </t>
  </si>
  <si>
    <t>STGO.PRINCIPAL </t>
  </si>
  <si>
    <t>0203062 </t>
  </si>
  <si>
    <t>0204196 </t>
  </si>
  <si>
    <t>SERVI OSORNO </t>
  </si>
  <si>
    <t>3000200 </t>
  </si>
  <si>
    <t>PAINE </t>
  </si>
  <si>
    <t>2091670 </t>
  </si>
  <si>
    <t>0206508 </t>
  </si>
  <si>
    <t>0204797 </t>
  </si>
  <si>
    <t>0205571 </t>
  </si>
  <si>
    <t>0203599 </t>
  </si>
  <si>
    <t>23-03-2020  </t>
  </si>
  <si>
    <t>7027457 </t>
  </si>
  <si>
    <t>TRANSFERENCIA BANCOESTADO DE I MUNIC JUAN FERNANDEZ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</si>
  <si>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</si>
  <si>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</si>
  <si>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</si>
  <si>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</si>
  <si>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</si>
  <si>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</si>
  <si>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</si>
  <si>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</si>
  <si>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</si>
  <si>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Comprobantes</t>
  </si>
  <si>
    <t>total</t>
  </si>
  <si>
    <t>ABONO PAGO A PROVEEDORES SUBSECRETARIA DE SALUD PUBLICA</t>
  </si>
  <si>
    <t>ABONO PAGO A PROVEEDORES MUNICIPALIDAD DE FUTRONO</t>
  </si>
  <si>
    <t>ABONO PAGO A PROVEEDORES SERVICIO DE SALUD DE CONCEPCION</t>
  </si>
  <si>
    <t>ABONO PAGO A PROVEEDORES SERVICIO DE SALUD DE ANTOFAGASTA</t>
  </si>
  <si>
    <t>ABONO PAGO A PROVEEDORES SERVICIO DE SALUD DE IQUIQUE</t>
  </si>
  <si>
    <t>DEPOSITO CON DOCUMENTOS MUNICIPALIDAD DE PAINE</t>
  </si>
  <si>
    <t>DEPOSITO CON DOCUMENTOS MUNICIPALIDAD DE OSORNO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</si>
  <si>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</si>
  <si>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ABONO PAGO A PROVEEDORES CENTRO DE REFERENCIA DE SALUD DE MAIPU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</si>
</sst>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65">
    <xf numFmtId="0" fontId="0" fillId="0" borderId="0" xfId="0"/>
    <xf numFmtId="0" fontId="16" fillId="0" borderId="0" xfId="0" applyFont="1" applyAlignment="1">
      <alignment wrapText="1"/>
    </xf>
    <xf numFmtId="0" fontId="14" fillId="0" borderId="0" xfId="0" applyFont="1"/>
    <xf numFmtId="3" fontId="20" fillId="0" borderId="10" xfId="0" applyNumberFormat="1" applyFont="1" applyBorder="1" applyAlignment="1">
      <alignment horizontal="right" wrapText="1"/>
    </xf>
    <xf numFmtId="0" fontId="20" fillId="0" borderId="0" xfId="0" applyFont="1" applyBorder="1" applyAlignment="1">
      <alignment horizontal="right" wrapText="1"/>
    </xf>
    <xf numFmtId="3" fontId="20" fillId="0" borderId="12" xfId="0" applyNumberFormat="1" applyFont="1" applyBorder="1" applyAlignment="1">
      <alignment horizontal="right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1" fillId="0" borderId="0" xfId="0" applyFont="1"/>
    <xf numFmtId="0" fontId="20" fillId="0" borderId="19" xfId="0" applyFont="1" applyBorder="1" applyAlignment="1">
      <alignment horizontal="right" wrapText="1"/>
    </xf>
    <xf numFmtId="3" fontId="22" fillId="0" borderId="11" xfId="0" applyNumberFormat="1" applyFont="1" applyBorder="1" applyAlignment="1">
      <alignment horizontal="right" wrapText="1"/>
    </xf>
    <xf numFmtId="0" fontId="20" fillId="0" borderId="22" xfId="0" applyFont="1" applyBorder="1" applyAlignment="1">
      <alignment horizontal="right" wrapText="1"/>
    </xf>
    <xf numFmtId="3" fontId="22" fillId="0" borderId="23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22" fillId="0" borderId="14" xfId="0" applyFont="1" applyBorder="1" applyAlignment="1">
      <alignment horizontal="right" wrapText="1"/>
    </xf>
    <xf numFmtId="0" fontId="16" fillId="0" borderId="24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2" fillId="0" borderId="0" xfId="0" applyFont="1" applyBorder="1" applyAlignment="1">
      <alignment horizontal="right" wrapText="1"/>
    </xf>
    <xf numFmtId="3" fontId="22" fillId="0" borderId="25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22" fillId="0" borderId="17" xfId="0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0" fontId="20" fillId="0" borderId="27" xfId="0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2" fillId="0" borderId="11" xfId="0" applyFont="1" applyBorder="1" applyAlignment="1">
      <alignment horizontal="right" wrapText="1"/>
    </xf>
    <xf numFmtId="3" fontId="22" fillId="0" borderId="28" xfId="0" applyNumberFormat="1" applyFont="1" applyBorder="1" applyAlignment="1">
      <alignment horizontal="right" wrapText="1"/>
    </xf>
    <xf numFmtId="0" fontId="0" fillId="0" borderId="0" xfId="0" applyFont="1"/>
    <xf numFmtId="0" fontId="0" fillId="0" borderId="0" xfId="0" applyFont="1" applyAlignment="1">
      <alignment horizontal="left" wrapText="1"/>
    </xf>
    <xf numFmtId="0" fontId="0" fillId="0" borderId="0" xfId="0" applyFont="1" applyAlignment="1">
      <alignment wrapText="1"/>
    </xf>
    <xf numFmtId="14" fontId="0" fillId="0" borderId="0" xfId="0" applyNumberFormat="1" applyFont="1" applyAlignment="1">
      <alignment horizontal="left" wrapText="1"/>
    </xf>
    <xf numFmtId="0" fontId="0" fillId="0" borderId="12" xfId="0" applyFont="1" applyBorder="1" applyAlignment="1">
      <alignment wrapText="1"/>
    </xf>
    <xf numFmtId="0" fontId="0" fillId="0" borderId="10" xfId="0" applyFont="1" applyBorder="1" applyAlignment="1">
      <alignment wrapText="1"/>
    </xf>
    <xf numFmtId="0" fontId="0" fillId="0" borderId="21" xfId="0" applyFont="1" applyBorder="1" applyAlignment="1">
      <alignment wrapText="1"/>
    </xf>
    <xf numFmtId="0" fontId="0" fillId="0" borderId="20" xfId="0" applyFont="1" applyBorder="1"/>
    <xf numFmtId="0" fontId="0" fillId="0" borderId="19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0" fillId="0" borderId="0" xfId="0" applyFont="1" applyBorder="1"/>
    <xf numFmtId="3" fontId="0" fillId="0" borderId="10" xfId="0" applyNumberFormat="1" applyFont="1" applyBorder="1" applyAlignment="1">
      <alignment horizontal="right" wrapText="1"/>
    </xf>
    <xf numFmtId="0" fontId="0" fillId="0" borderId="10" xfId="0" applyFont="1" applyBorder="1"/>
    <xf numFmtId="0" fontId="0" fillId="0" borderId="10" xfId="0" applyFont="1" applyBorder="1" applyAlignment="1">
      <alignment horizontal="right" wrapText="1"/>
    </xf>
    <xf numFmtId="3" fontId="0" fillId="0" borderId="10" xfId="0" applyNumberFormat="1" applyFont="1" applyBorder="1"/>
    <xf numFmtId="0" fontId="24" fillId="0" borderId="26" xfId="0" applyFont="1" applyBorder="1" applyAlignment="1">
      <alignment horizontal="center"/>
    </xf>
    <xf numFmtId="0" fontId="24" fillId="0" borderId="20" xfId="0" applyFont="1" applyBorder="1" applyAlignment="1">
      <alignment horizontal="center"/>
    </xf>
    <xf numFmtId="0" fontId="0" fillId="0" borderId="10" xfId="0" applyFont="1" applyBorder="1" applyAlignment="1">
      <alignment wrapText="1"/>
    </xf>
    <xf numFmtId="0" fontId="16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right" wrapText="1"/>
    </xf>
    <xf numFmtId="0" fontId="0" fillId="0" borderId="12" xfId="0" applyFont="1" applyBorder="1" applyAlignment="1">
      <alignment wrapText="1"/>
    </xf>
    <xf numFmtId="0" fontId="23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3" fontId="22" fillId="33" borderId="25" xfId="0" applyNumberFormat="1" applyFont="1" applyFill="1" applyBorder="1" applyAlignment="1">
      <alignment horizontal="right" wrapText="1"/>
    </xf>
    <xf numFmtId="42" fontId="0" fillId="0" borderId="10" xfId="0" applyNumberFormat="1" applyBorder="1"/>
    <xf numFmtId="3" fontId="22" fillId="34" borderId="15" xfId="0" applyNumberFormat="1" applyFont="1" applyFill="1" applyBorder="1" applyAlignment="1">
      <alignment horizontal="right" wrapText="1"/>
    </xf>
    <xf numFmtId="3" fontId="22" fillId="34" borderId="25" xfId="0" applyNumberFormat="1" applyFont="1" applyFill="1" applyBorder="1" applyAlignment="1">
      <alignment horizontal="right" wrapText="1"/>
    </xf>
    <xf numFmtId="3" fontId="22" fillId="34" borderId="18" xfId="0" applyNumberFormat="1" applyFont="1" applyFill="1" applyBorder="1" applyAlignment="1">
      <alignment horizontal="right" wrapText="1"/>
    </xf>
    <xf numFmtId="42" fontId="0" fillId="35" borderId="10" xfId="0" applyNumberFormat="1" applyFill="1" applyBorder="1"/>
    <xf numFmtId="3" fontId="22" fillId="36" borderId="25" xfId="0" applyNumberFormat="1" applyFont="1" applyFill="1" applyBorder="1" applyAlignment="1">
      <alignment horizontal="right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M65"/>
  <sheetViews>
    <sheetView showGridLines="0" tabSelected="1" topLeftCell="A28" workbookViewId="0">
      <selection activeCell="K35" sqref="K35"/>
    </sheetView>
  </sheetViews>
  <sheetFormatPr baseColWidth="10" defaultRowHeight="15" x14ac:dyDescent="0.25"/>
  <cols>
    <col min="1" max="1" width="17.85546875" style="31" bestFit="1" customWidth="1"/>
    <col min="2" max="2" width="12.7109375" style="31" customWidth="1"/>
    <col min="3" max="3" width="16.42578125" style="31" bestFit="1" customWidth="1"/>
    <col min="4" max="4" width="12.7109375" style="31" bestFit="1" customWidth="1"/>
    <col min="5" max="5" width="46" style="31" bestFit="1" customWidth="1"/>
    <col min="6" max="6" width="9.85546875" style="31" bestFit="1" customWidth="1"/>
    <col min="7" max="7" width="13" style="31" bestFit="1" customWidth="1"/>
    <col min="8" max="16384" width="11.42578125" style="31"/>
  </cols>
  <sheetData>
    <row r="1" spans="1:7" ht="18" customHeight="1" x14ac:dyDescent="0.3">
      <c r="A1" s="53" t="s">
        <v>0</v>
      </c>
      <c r="B1" s="53"/>
      <c r="C1" s="53"/>
      <c r="D1" s="53"/>
      <c r="E1" s="53"/>
    </row>
    <row r="2" spans="1:7" x14ac:dyDescent="0.25">
      <c r="A2" s="50"/>
      <c r="B2" s="50"/>
      <c r="C2" s="50"/>
      <c r="D2" s="50"/>
      <c r="E2" s="50"/>
      <c r="F2" s="50"/>
    </row>
    <row r="3" spans="1:7" ht="15" customHeight="1" x14ac:dyDescent="0.25">
      <c r="A3" s="49" t="s">
        <v>61</v>
      </c>
      <c r="B3" s="49"/>
      <c r="C3" s="49"/>
      <c r="D3" s="49"/>
      <c r="E3" s="49"/>
    </row>
    <row r="4" spans="1:7" x14ac:dyDescent="0.25">
      <c r="A4" s="50"/>
      <c r="B4" s="50"/>
      <c r="C4" s="50"/>
      <c r="D4" s="50"/>
      <c r="E4" s="50"/>
    </row>
    <row r="5" spans="1:7" x14ac:dyDescent="0.25">
      <c r="A5" s="1" t="s">
        <v>1</v>
      </c>
      <c r="B5" s="32" t="s">
        <v>2</v>
      </c>
      <c r="C5" s="33"/>
      <c r="D5" s="1" t="s">
        <v>3</v>
      </c>
      <c r="E5" s="32" t="s">
        <v>4</v>
      </c>
    </row>
    <row r="6" spans="1:7" x14ac:dyDescent="0.25">
      <c r="A6" s="1" t="s">
        <v>5</v>
      </c>
      <c r="B6" s="32" t="s">
        <v>6</v>
      </c>
      <c r="C6" s="33"/>
      <c r="D6" s="1" t="s">
        <v>7</v>
      </c>
      <c r="E6" s="32" t="s">
        <v>8</v>
      </c>
    </row>
    <row r="7" spans="1:7" x14ac:dyDescent="0.25">
      <c r="A7" s="1" t="s">
        <v>9</v>
      </c>
      <c r="B7" s="32">
        <v>9210059</v>
      </c>
      <c r="C7" s="33"/>
      <c r="D7" s="1" t="s">
        <v>10</v>
      </c>
      <c r="E7" s="34">
        <v>43914</v>
      </c>
    </row>
    <row r="8" spans="1:7" ht="60" x14ac:dyDescent="0.25">
      <c r="A8" s="1" t="s">
        <v>11</v>
      </c>
      <c r="B8" s="33" t="s">
        <v>12</v>
      </c>
      <c r="C8" s="33"/>
      <c r="D8" s="33"/>
      <c r="E8" s="33"/>
    </row>
    <row r="9" spans="1:7" ht="21" x14ac:dyDescent="0.35">
      <c r="A9" s="33"/>
      <c r="F9" s="10" t="s">
        <v>52</v>
      </c>
    </row>
    <row r="10" spans="1:7" x14ac:dyDescent="0.25">
      <c r="A10" s="1" t="s">
        <v>13</v>
      </c>
    </row>
    <row r="11" spans="1:7" x14ac:dyDescent="0.25">
      <c r="A11" s="33"/>
    </row>
    <row r="12" spans="1:7" x14ac:dyDescent="0.25">
      <c r="A12" s="1" t="s">
        <v>14</v>
      </c>
      <c r="B12" s="32">
        <v>57</v>
      </c>
      <c r="C12" s="33"/>
      <c r="D12" s="1" t="s">
        <v>15</v>
      </c>
      <c r="E12" s="34">
        <v>43910</v>
      </c>
    </row>
    <row r="13" spans="1:7" x14ac:dyDescent="0.25">
      <c r="A13" s="1" t="s">
        <v>16</v>
      </c>
      <c r="B13" s="32">
        <v>32</v>
      </c>
      <c r="C13" s="33"/>
      <c r="D13" s="1" t="s">
        <v>17</v>
      </c>
      <c r="E13" s="34">
        <v>43913</v>
      </c>
    </row>
    <row r="14" spans="1:7" x14ac:dyDescent="0.25">
      <c r="A14" s="1" t="s">
        <v>18</v>
      </c>
      <c r="B14" s="34">
        <v>43910</v>
      </c>
      <c r="C14" s="33"/>
      <c r="D14" s="33"/>
      <c r="E14" s="33"/>
    </row>
    <row r="15" spans="1:7" ht="15" customHeight="1" x14ac:dyDescent="0.25">
      <c r="A15" s="49" t="s">
        <v>19</v>
      </c>
      <c r="B15" s="49"/>
      <c r="C15" s="49"/>
      <c r="D15" s="49"/>
      <c r="E15" s="49"/>
      <c r="F15" s="49"/>
      <c r="G15" s="49"/>
    </row>
    <row r="16" spans="1:7" ht="15.75" thickBot="1" x14ac:dyDescent="0.3">
      <c r="A16" s="50"/>
      <c r="B16" s="50"/>
      <c r="C16" s="50"/>
      <c r="D16" s="50"/>
      <c r="E16" s="50"/>
      <c r="F16" s="50"/>
      <c r="G16" s="50"/>
    </row>
    <row r="17" spans="1:13" x14ac:dyDescent="0.25">
      <c r="A17" s="54" t="s">
        <v>20</v>
      </c>
      <c r="B17" s="55"/>
      <c r="C17" s="55" t="s">
        <v>21</v>
      </c>
      <c r="D17" s="55" t="s">
        <v>22</v>
      </c>
      <c r="E17" s="55" t="s">
        <v>23</v>
      </c>
      <c r="F17" s="6" t="s">
        <v>24</v>
      </c>
      <c r="G17" s="6" t="s">
        <v>26</v>
      </c>
      <c r="H17" s="7" t="s">
        <v>50</v>
      </c>
    </row>
    <row r="18" spans="1:13" ht="15.75" thickBot="1" x14ac:dyDescent="0.3">
      <c r="A18" s="56"/>
      <c r="B18" s="57"/>
      <c r="C18" s="57"/>
      <c r="D18" s="57"/>
      <c r="E18" s="57"/>
      <c r="F18" s="8" t="s">
        <v>25</v>
      </c>
      <c r="G18" s="8" t="s">
        <v>27</v>
      </c>
      <c r="H18" s="9" t="s">
        <v>51</v>
      </c>
    </row>
    <row r="19" spans="1:13" ht="31.5" thickBot="1" x14ac:dyDescent="0.35">
      <c r="A19" s="52" t="s">
        <v>28</v>
      </c>
      <c r="B19" s="52"/>
      <c r="C19" s="35" t="s">
        <v>29</v>
      </c>
      <c r="D19" s="35" t="s">
        <v>30</v>
      </c>
      <c r="E19" s="25" t="s">
        <v>62</v>
      </c>
      <c r="F19" s="13">
        <v>0</v>
      </c>
      <c r="G19" s="12">
        <v>4842</v>
      </c>
      <c r="H19" s="46">
        <v>1235</v>
      </c>
    </row>
    <row r="20" spans="1:13" ht="31.5" thickBot="1" x14ac:dyDescent="0.35">
      <c r="A20" s="48" t="s">
        <v>28</v>
      </c>
      <c r="B20" s="48"/>
      <c r="C20" s="36" t="s">
        <v>29</v>
      </c>
      <c r="D20" s="37" t="s">
        <v>39</v>
      </c>
      <c r="E20" s="26" t="s">
        <v>54</v>
      </c>
      <c r="F20" s="27">
        <v>0</v>
      </c>
      <c r="G20" s="30">
        <v>16103265</v>
      </c>
      <c r="H20" s="47">
        <v>1236</v>
      </c>
      <c r="M20" s="59"/>
    </row>
    <row r="21" spans="1:13" ht="30" customHeight="1" x14ac:dyDescent="0.25">
      <c r="A21" s="48" t="s">
        <v>28</v>
      </c>
      <c r="B21" s="48"/>
      <c r="C21" s="39" t="s">
        <v>29</v>
      </c>
      <c r="D21" s="15" t="s">
        <v>31</v>
      </c>
      <c r="E21" s="16" t="s">
        <v>55</v>
      </c>
      <c r="F21" s="17">
        <v>0</v>
      </c>
      <c r="G21" s="60">
        <v>12089</v>
      </c>
      <c r="H21" s="38"/>
      <c r="M21" s="63"/>
    </row>
    <row r="22" spans="1:13" ht="30" customHeight="1" x14ac:dyDescent="0.25">
      <c r="A22" s="48" t="s">
        <v>28</v>
      </c>
      <c r="B22" s="48"/>
      <c r="C22" s="39" t="s">
        <v>29</v>
      </c>
      <c r="D22" s="18" t="s">
        <v>31</v>
      </c>
      <c r="E22" s="19" t="s">
        <v>55</v>
      </c>
      <c r="F22" s="20">
        <v>0</v>
      </c>
      <c r="G22" s="64">
        <v>14396</v>
      </c>
      <c r="H22" s="38"/>
      <c r="M22" s="59"/>
    </row>
    <row r="23" spans="1:13" ht="30" customHeight="1" x14ac:dyDescent="0.25">
      <c r="A23" s="48" t="s">
        <v>28</v>
      </c>
      <c r="B23" s="48"/>
      <c r="C23" s="39" t="s">
        <v>29</v>
      </c>
      <c r="D23" s="18" t="s">
        <v>31</v>
      </c>
      <c r="E23" s="19" t="s">
        <v>55</v>
      </c>
      <c r="F23" s="20">
        <v>0</v>
      </c>
      <c r="G23" s="58">
        <v>19887</v>
      </c>
      <c r="H23" s="38"/>
      <c r="K23" s="59"/>
      <c r="M23" s="59"/>
    </row>
    <row r="24" spans="1:13" ht="30" customHeight="1" x14ac:dyDescent="0.25">
      <c r="A24" s="48" t="s">
        <v>28</v>
      </c>
      <c r="B24" s="48"/>
      <c r="C24" s="39" t="s">
        <v>29</v>
      </c>
      <c r="D24" s="18" t="s">
        <v>31</v>
      </c>
      <c r="E24" s="19" t="s">
        <v>55</v>
      </c>
      <c r="F24" s="20">
        <v>0</v>
      </c>
      <c r="G24" s="64">
        <v>20967</v>
      </c>
      <c r="H24" s="38"/>
      <c r="K24" s="59"/>
      <c r="M24" s="59"/>
    </row>
    <row r="25" spans="1:13" ht="30" customHeight="1" x14ac:dyDescent="0.25">
      <c r="A25" s="48" t="s">
        <v>28</v>
      </c>
      <c r="B25" s="48"/>
      <c r="C25" s="39" t="s">
        <v>29</v>
      </c>
      <c r="D25" s="18" t="s">
        <v>31</v>
      </c>
      <c r="E25" s="19" t="s">
        <v>55</v>
      </c>
      <c r="F25" s="20">
        <v>0</v>
      </c>
      <c r="G25" s="64">
        <v>23802</v>
      </c>
      <c r="H25" s="38"/>
      <c r="K25" s="59"/>
      <c r="M25" s="59"/>
    </row>
    <row r="26" spans="1:13" ht="30" customHeight="1" x14ac:dyDescent="0.25">
      <c r="A26" s="48" t="s">
        <v>28</v>
      </c>
      <c r="B26" s="48"/>
      <c r="C26" s="39" t="s">
        <v>29</v>
      </c>
      <c r="D26" s="18" t="s">
        <v>31</v>
      </c>
      <c r="E26" s="19" t="s">
        <v>55</v>
      </c>
      <c r="F26" s="20">
        <v>0</v>
      </c>
      <c r="G26" s="61">
        <v>24513</v>
      </c>
      <c r="H26" s="38"/>
      <c r="K26" s="59"/>
      <c r="M26" s="59"/>
    </row>
    <row r="27" spans="1:13" ht="30" customHeight="1" x14ac:dyDescent="0.25">
      <c r="A27" s="48" t="s">
        <v>28</v>
      </c>
      <c r="B27" s="48"/>
      <c r="C27" s="39" t="s">
        <v>29</v>
      </c>
      <c r="D27" s="18" t="s">
        <v>31</v>
      </c>
      <c r="E27" s="19" t="s">
        <v>55</v>
      </c>
      <c r="F27" s="20">
        <v>0</v>
      </c>
      <c r="G27" s="58">
        <v>28275</v>
      </c>
      <c r="H27" s="38"/>
      <c r="K27" s="59"/>
      <c r="M27" s="59"/>
    </row>
    <row r="28" spans="1:13" ht="30" customHeight="1" x14ac:dyDescent="0.25">
      <c r="A28" s="48" t="s">
        <v>28</v>
      </c>
      <c r="B28" s="48"/>
      <c r="C28" s="39" t="s">
        <v>29</v>
      </c>
      <c r="D28" s="18" t="s">
        <v>31</v>
      </c>
      <c r="E28" s="19" t="s">
        <v>55</v>
      </c>
      <c r="F28" s="20">
        <v>0</v>
      </c>
      <c r="G28" s="61">
        <v>32741</v>
      </c>
      <c r="H28" s="38"/>
      <c r="K28" s="59"/>
      <c r="M28" s="59"/>
    </row>
    <row r="29" spans="1:13" ht="30" customHeight="1" x14ac:dyDescent="0.25">
      <c r="A29" s="48" t="s">
        <v>28</v>
      </c>
      <c r="B29" s="48"/>
      <c r="C29" s="39" t="s">
        <v>29</v>
      </c>
      <c r="D29" s="18" t="s">
        <v>31</v>
      </c>
      <c r="E29" s="19" t="s">
        <v>55</v>
      </c>
      <c r="F29" s="20">
        <v>0</v>
      </c>
      <c r="G29" s="58">
        <v>34195</v>
      </c>
      <c r="H29" s="38"/>
      <c r="K29" s="59"/>
      <c r="M29" s="59"/>
    </row>
    <row r="30" spans="1:13" ht="30" customHeight="1" x14ac:dyDescent="0.25">
      <c r="A30" s="48" t="s">
        <v>28</v>
      </c>
      <c r="B30" s="48"/>
      <c r="C30" s="39" t="s">
        <v>29</v>
      </c>
      <c r="D30" s="18" t="s">
        <v>31</v>
      </c>
      <c r="E30" s="19" t="s">
        <v>55</v>
      </c>
      <c r="F30" s="20">
        <v>0</v>
      </c>
      <c r="G30" s="64">
        <v>38374</v>
      </c>
      <c r="H30" s="38"/>
      <c r="K30" s="59"/>
    </row>
    <row r="31" spans="1:13" ht="30" customHeight="1" x14ac:dyDescent="0.25">
      <c r="A31" s="48" t="s">
        <v>28</v>
      </c>
      <c r="B31" s="48"/>
      <c r="C31" s="39" t="s">
        <v>29</v>
      </c>
      <c r="D31" s="18" t="s">
        <v>31</v>
      </c>
      <c r="E31" s="19" t="s">
        <v>55</v>
      </c>
      <c r="F31" s="20">
        <v>0</v>
      </c>
      <c r="G31" s="58">
        <v>40798</v>
      </c>
      <c r="H31" s="38"/>
      <c r="K31"/>
    </row>
    <row r="32" spans="1:13" ht="30" customHeight="1" x14ac:dyDescent="0.25">
      <c r="A32" s="48" t="s">
        <v>28</v>
      </c>
      <c r="B32" s="48"/>
      <c r="C32" s="39" t="s">
        <v>29</v>
      </c>
      <c r="D32" s="18" t="s">
        <v>31</v>
      </c>
      <c r="E32" s="19" t="s">
        <v>55</v>
      </c>
      <c r="F32" s="20">
        <v>0</v>
      </c>
      <c r="G32" s="58">
        <v>51009</v>
      </c>
      <c r="H32" s="38"/>
      <c r="K32"/>
    </row>
    <row r="33" spans="1:11" ht="30" customHeight="1" x14ac:dyDescent="0.25">
      <c r="A33" s="48" t="s">
        <v>28</v>
      </c>
      <c r="B33" s="48"/>
      <c r="C33" s="39" t="s">
        <v>29</v>
      </c>
      <c r="D33" s="18" t="s">
        <v>31</v>
      </c>
      <c r="E33" s="19" t="s">
        <v>55</v>
      </c>
      <c r="F33" s="20">
        <v>0</v>
      </c>
      <c r="G33" s="64">
        <v>52599</v>
      </c>
      <c r="H33" s="38"/>
      <c r="K33"/>
    </row>
    <row r="34" spans="1:11" ht="30" customHeight="1" x14ac:dyDescent="0.25">
      <c r="A34" s="48" t="s">
        <v>28</v>
      </c>
      <c r="B34" s="48"/>
      <c r="C34" s="39" t="s">
        <v>29</v>
      </c>
      <c r="D34" s="18" t="s">
        <v>31</v>
      </c>
      <c r="E34" s="19" t="s">
        <v>55</v>
      </c>
      <c r="F34" s="20">
        <v>0</v>
      </c>
      <c r="G34" s="64">
        <v>53598</v>
      </c>
      <c r="H34" s="38"/>
      <c r="K34"/>
    </row>
    <row r="35" spans="1:11" ht="30" customHeight="1" x14ac:dyDescent="0.25">
      <c r="A35" s="48" t="s">
        <v>28</v>
      </c>
      <c r="B35" s="48"/>
      <c r="C35" s="39" t="s">
        <v>29</v>
      </c>
      <c r="D35" s="18" t="s">
        <v>31</v>
      </c>
      <c r="E35" s="19" t="s">
        <v>55</v>
      </c>
      <c r="F35" s="20">
        <v>0</v>
      </c>
      <c r="G35" s="64">
        <v>55110</v>
      </c>
      <c r="H35" s="38"/>
    </row>
    <row r="36" spans="1:11" ht="30" customHeight="1" x14ac:dyDescent="0.25">
      <c r="A36" s="48" t="s">
        <v>28</v>
      </c>
      <c r="B36" s="48"/>
      <c r="C36" s="39" t="s">
        <v>29</v>
      </c>
      <c r="D36" s="18" t="s">
        <v>31</v>
      </c>
      <c r="E36" s="19" t="s">
        <v>55</v>
      </c>
      <c r="F36" s="20">
        <v>0</v>
      </c>
      <c r="G36" s="61">
        <v>65084</v>
      </c>
      <c r="H36" s="38"/>
    </row>
    <row r="37" spans="1:11" ht="30" customHeight="1" x14ac:dyDescent="0.25">
      <c r="A37" s="48" t="s">
        <v>28</v>
      </c>
      <c r="B37" s="48"/>
      <c r="C37" s="39" t="s">
        <v>29</v>
      </c>
      <c r="D37" s="18" t="s">
        <v>31</v>
      </c>
      <c r="E37" s="19" t="s">
        <v>55</v>
      </c>
      <c r="F37" s="20">
        <v>0</v>
      </c>
      <c r="G37" s="64">
        <v>67983</v>
      </c>
      <c r="H37" s="38"/>
    </row>
    <row r="38" spans="1:11" ht="30" customHeight="1" x14ac:dyDescent="0.25">
      <c r="A38" s="48" t="s">
        <v>28</v>
      </c>
      <c r="B38" s="48"/>
      <c r="C38" s="39" t="s">
        <v>29</v>
      </c>
      <c r="D38" s="18" t="s">
        <v>31</v>
      </c>
      <c r="E38" s="19" t="s">
        <v>55</v>
      </c>
      <c r="F38" s="20">
        <v>0</v>
      </c>
      <c r="G38" s="61">
        <v>75292</v>
      </c>
      <c r="H38" s="38"/>
    </row>
    <row r="39" spans="1:11" ht="30" customHeight="1" x14ac:dyDescent="0.25">
      <c r="A39" s="48" t="s">
        <v>28</v>
      </c>
      <c r="B39" s="48"/>
      <c r="C39" s="39" t="s">
        <v>29</v>
      </c>
      <c r="D39" s="18" t="s">
        <v>31</v>
      </c>
      <c r="E39" s="19" t="s">
        <v>55</v>
      </c>
      <c r="F39" s="20">
        <v>0</v>
      </c>
      <c r="G39" s="61">
        <v>86802</v>
      </c>
      <c r="H39" s="38"/>
    </row>
    <row r="40" spans="1:11" ht="30" customHeight="1" x14ac:dyDescent="0.25">
      <c r="A40" s="48" t="s">
        <v>28</v>
      </c>
      <c r="B40" s="48"/>
      <c r="C40" s="39" t="s">
        <v>29</v>
      </c>
      <c r="D40" s="18" t="s">
        <v>31</v>
      </c>
      <c r="E40" s="19" t="s">
        <v>55</v>
      </c>
      <c r="F40" s="20">
        <v>0</v>
      </c>
      <c r="G40" s="61">
        <v>90367</v>
      </c>
      <c r="H40" s="38"/>
    </row>
    <row r="41" spans="1:11" ht="30" customHeight="1" x14ac:dyDescent="0.25">
      <c r="A41" s="48" t="s">
        <v>28</v>
      </c>
      <c r="B41" s="48"/>
      <c r="C41" s="39" t="s">
        <v>29</v>
      </c>
      <c r="D41" s="18" t="s">
        <v>31</v>
      </c>
      <c r="E41" s="19" t="s">
        <v>55</v>
      </c>
      <c r="F41" s="20">
        <v>0</v>
      </c>
      <c r="G41" s="64">
        <v>121185</v>
      </c>
      <c r="H41" s="38"/>
    </row>
    <row r="42" spans="1:11" ht="30" customHeight="1" x14ac:dyDescent="0.25">
      <c r="A42" s="48" t="s">
        <v>28</v>
      </c>
      <c r="B42" s="48"/>
      <c r="C42" s="39" t="s">
        <v>29</v>
      </c>
      <c r="D42" s="18" t="s">
        <v>31</v>
      </c>
      <c r="E42" s="19" t="s">
        <v>55</v>
      </c>
      <c r="F42" s="20">
        <v>0</v>
      </c>
      <c r="G42" s="21">
        <v>134579</v>
      </c>
      <c r="H42" s="38"/>
    </row>
    <row r="43" spans="1:11" ht="30" customHeight="1" x14ac:dyDescent="0.25">
      <c r="A43" s="48" t="s">
        <v>28</v>
      </c>
      <c r="B43" s="48"/>
      <c r="C43" s="39" t="s">
        <v>29</v>
      </c>
      <c r="D43" s="18" t="s">
        <v>31</v>
      </c>
      <c r="E43" s="19" t="s">
        <v>55</v>
      </c>
      <c r="F43" s="20">
        <v>0</v>
      </c>
      <c r="G43" s="64">
        <v>145097</v>
      </c>
      <c r="H43" s="38"/>
    </row>
    <row r="44" spans="1:11" ht="30" customHeight="1" thickBot="1" x14ac:dyDescent="0.3">
      <c r="A44" s="48" t="s">
        <v>28</v>
      </c>
      <c r="B44" s="48"/>
      <c r="C44" s="39" t="s">
        <v>29</v>
      </c>
      <c r="D44" s="22" t="s">
        <v>31</v>
      </c>
      <c r="E44" s="23" t="s">
        <v>55</v>
      </c>
      <c r="F44" s="24">
        <v>0</v>
      </c>
      <c r="G44" s="62">
        <v>191318</v>
      </c>
      <c r="H44" s="38"/>
    </row>
    <row r="45" spans="1:11" ht="19.5" thickBot="1" x14ac:dyDescent="0.35">
      <c r="A45" s="36"/>
      <c r="B45" s="36"/>
      <c r="C45" s="36"/>
      <c r="D45" s="35"/>
      <c r="E45" s="35"/>
      <c r="F45" s="13" t="s">
        <v>53</v>
      </c>
      <c r="G45" s="14">
        <f>SUM(G21:G44)</f>
        <v>1480060</v>
      </c>
      <c r="H45" s="47">
        <v>1237</v>
      </c>
    </row>
    <row r="46" spans="1:11" ht="31.5" thickBot="1" x14ac:dyDescent="0.35">
      <c r="A46" s="48" t="s">
        <v>28</v>
      </c>
      <c r="B46" s="48"/>
      <c r="C46" s="36" t="s">
        <v>29</v>
      </c>
      <c r="D46" s="36" t="s">
        <v>37</v>
      </c>
      <c r="E46" s="28" t="s">
        <v>56</v>
      </c>
      <c r="F46" s="11">
        <v>0</v>
      </c>
      <c r="G46" s="12">
        <v>1434039</v>
      </c>
      <c r="H46" s="47">
        <v>1238</v>
      </c>
    </row>
    <row r="47" spans="1:11" ht="31.5" thickBot="1" x14ac:dyDescent="0.35">
      <c r="A47" s="48" t="s">
        <v>28</v>
      </c>
      <c r="B47" s="48"/>
      <c r="C47" s="36" t="s">
        <v>29</v>
      </c>
      <c r="D47" s="36" t="s">
        <v>38</v>
      </c>
      <c r="E47" s="28" t="s">
        <v>57</v>
      </c>
      <c r="F47" s="11">
        <v>0</v>
      </c>
      <c r="G47" s="12">
        <v>4720900</v>
      </c>
      <c r="H47" s="47">
        <v>1239</v>
      </c>
    </row>
    <row r="48" spans="1:11" ht="31.5" thickBot="1" x14ac:dyDescent="0.35">
      <c r="A48" s="48" t="s">
        <v>28</v>
      </c>
      <c r="B48" s="48"/>
      <c r="C48" s="36" t="s">
        <v>29</v>
      </c>
      <c r="D48" s="36" t="s">
        <v>36</v>
      </c>
      <c r="E48" s="28" t="s">
        <v>58</v>
      </c>
      <c r="F48" s="11">
        <v>0</v>
      </c>
      <c r="G48" s="12">
        <v>247500</v>
      </c>
      <c r="H48" s="47">
        <v>1240</v>
      </c>
    </row>
    <row r="49" spans="1:8" ht="31.5" thickBot="1" x14ac:dyDescent="0.35">
      <c r="A49" s="48" t="s">
        <v>28</v>
      </c>
      <c r="B49" s="48"/>
      <c r="C49" s="36" t="s">
        <v>34</v>
      </c>
      <c r="D49" s="36" t="s">
        <v>35</v>
      </c>
      <c r="E49" s="28" t="s">
        <v>59</v>
      </c>
      <c r="F49" s="11">
        <v>0</v>
      </c>
      <c r="G49" s="12">
        <v>183201</v>
      </c>
      <c r="H49" s="47">
        <v>1241</v>
      </c>
    </row>
    <row r="50" spans="1:8" ht="31.5" thickBot="1" x14ac:dyDescent="0.35">
      <c r="A50" s="48" t="s">
        <v>28</v>
      </c>
      <c r="B50" s="48"/>
      <c r="C50" s="36" t="s">
        <v>32</v>
      </c>
      <c r="D50" s="36" t="s">
        <v>33</v>
      </c>
      <c r="E50" s="28" t="s">
        <v>60</v>
      </c>
      <c r="F50" s="11">
        <v>0</v>
      </c>
      <c r="G50" s="12">
        <v>42950</v>
      </c>
      <c r="H50" s="47">
        <v>1242</v>
      </c>
    </row>
    <row r="51" spans="1:8" ht="31.5" thickBot="1" x14ac:dyDescent="0.35">
      <c r="A51" s="48" t="s">
        <v>40</v>
      </c>
      <c r="B51" s="48"/>
      <c r="C51" s="36" t="s">
        <v>29</v>
      </c>
      <c r="D51" s="36" t="s">
        <v>41</v>
      </c>
      <c r="E51" s="28" t="s">
        <v>42</v>
      </c>
      <c r="F51" s="11">
        <v>0</v>
      </c>
      <c r="G51" s="29">
        <v>715</v>
      </c>
      <c r="H51" s="47">
        <v>1243</v>
      </c>
    </row>
    <row r="52" spans="1:8" ht="17.25" customHeight="1" x14ac:dyDescent="0.25">
      <c r="A52" s="40"/>
      <c r="B52" s="40"/>
      <c r="C52" s="40"/>
      <c r="D52" s="40"/>
      <c r="E52" s="40"/>
      <c r="F52" s="4"/>
      <c r="G52" s="5">
        <f>G19+G20+G45+G46+G47+G48+G49+G50+G51</f>
        <v>24217472</v>
      </c>
      <c r="H52" s="41"/>
    </row>
    <row r="53" spans="1:8" x14ac:dyDescent="0.25">
      <c r="A53" s="51"/>
      <c r="B53" s="51"/>
      <c r="C53" s="51"/>
      <c r="D53" s="51"/>
      <c r="E53" s="51"/>
      <c r="F53" s="51"/>
      <c r="G53" s="51"/>
    </row>
    <row r="54" spans="1:8" x14ac:dyDescent="0.25">
      <c r="A54" s="50"/>
      <c r="B54" s="50"/>
      <c r="C54" s="50"/>
      <c r="D54" s="50"/>
      <c r="E54" s="50"/>
      <c r="F54" s="50"/>
      <c r="G54" s="50"/>
    </row>
    <row r="55" spans="1:8" ht="15" customHeight="1" x14ac:dyDescent="0.25">
      <c r="A55" s="49" t="s">
        <v>43</v>
      </c>
      <c r="B55" s="49"/>
      <c r="C55" s="49"/>
      <c r="D55" s="49"/>
      <c r="E55" s="49"/>
      <c r="F55" s="49"/>
      <c r="G55" s="49"/>
    </row>
    <row r="56" spans="1:8" x14ac:dyDescent="0.25">
      <c r="A56" s="50"/>
      <c r="B56" s="50"/>
      <c r="C56" s="50"/>
      <c r="D56" s="50"/>
      <c r="E56" s="50"/>
      <c r="F56" s="50"/>
      <c r="G56" s="50"/>
    </row>
    <row r="57" spans="1:8" x14ac:dyDescent="0.25">
      <c r="A57" s="36" t="s">
        <v>44</v>
      </c>
      <c r="B57" s="42">
        <v>4960639804</v>
      </c>
      <c r="C57" s="43"/>
    </row>
    <row r="58" spans="1:8" x14ac:dyDescent="0.25">
      <c r="A58" s="36" t="s">
        <v>45</v>
      </c>
      <c r="B58" s="44">
        <v>0</v>
      </c>
      <c r="C58" s="43"/>
    </row>
    <row r="59" spans="1:8" x14ac:dyDescent="0.25">
      <c r="A59" s="36" t="s">
        <v>46</v>
      </c>
      <c r="B59" s="44">
        <v>0</v>
      </c>
      <c r="C59" s="43"/>
    </row>
    <row r="60" spans="1:8" x14ac:dyDescent="0.25">
      <c r="A60" s="36" t="s">
        <v>47</v>
      </c>
      <c r="B60" s="42">
        <v>226151</v>
      </c>
      <c r="C60" s="45">
        <f>B60+B61</f>
        <v>24217472</v>
      </c>
    </row>
    <row r="61" spans="1:8" x14ac:dyDescent="0.25">
      <c r="A61" s="36" t="s">
        <v>48</v>
      </c>
      <c r="B61" s="42">
        <v>23991321</v>
      </c>
      <c r="C61" s="43"/>
    </row>
    <row r="62" spans="1:8" x14ac:dyDescent="0.25">
      <c r="A62" s="36" t="s">
        <v>49</v>
      </c>
      <c r="B62" s="3">
        <v>4984857276</v>
      </c>
      <c r="C62" s="43"/>
    </row>
    <row r="63" spans="1:8" x14ac:dyDescent="0.25">
      <c r="A63" s="2"/>
    </row>
    <row r="64" spans="1:8" x14ac:dyDescent="0.25">
      <c r="A64" s="2"/>
    </row>
    <row r="65" spans="1:1" x14ac:dyDescent="0.25">
      <c r="A65" s="2"/>
    </row>
  </sheetData>
  <sortState xmlns:xlrd2="http://schemas.microsoft.com/office/spreadsheetml/2017/richdata2" ref="C19:G50">
    <sortCondition ref="D19:D50"/>
  </sortState>
  <mergeCells count="46"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30:B30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47:B47"/>
    <mergeCell ref="A48:B48"/>
    <mergeCell ref="A49:B49"/>
    <mergeCell ref="A32:B32"/>
    <mergeCell ref="A33:B33"/>
    <mergeCell ref="A34:B34"/>
    <mergeCell ref="A35:B35"/>
    <mergeCell ref="A36:B36"/>
    <mergeCell ref="A42:B42"/>
    <mergeCell ref="A31:B31"/>
    <mergeCell ref="A55:G55"/>
    <mergeCell ref="A56:G56"/>
    <mergeCell ref="A50:B50"/>
    <mergeCell ref="A51:B51"/>
    <mergeCell ref="A53:G53"/>
    <mergeCell ref="A37:B37"/>
    <mergeCell ref="A38:B38"/>
    <mergeCell ref="A39:B39"/>
    <mergeCell ref="A40:B40"/>
    <mergeCell ref="A41:B41"/>
    <mergeCell ref="A54:G54"/>
    <mergeCell ref="A43:B43"/>
    <mergeCell ref="A44:B44"/>
    <mergeCell ref="A46:B46"/>
  </mergeCells>
  <pageMargins left="0.75" right="0.75" top="1" bottom="1" header="0.5" footer="0.5"/>
  <pageSetup scale="63" fitToHeight="0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2020-03-24T17:06:30Z</cp:lastPrinted>
  <dcterms:created xsi:type="dcterms:W3CDTF">2020-03-24T15:11:57Z</dcterms:created>
  <dcterms:modified xsi:type="dcterms:W3CDTF">2020-04-08T20:15:27Z</dcterms:modified>
</cp:coreProperties>
</file>