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164E7B1D-B8D7-4C5B-B718-30615B08F8C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  <sheet name="9210920" sheetId="3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" i="3" l="1"/>
  <c r="C34" i="3"/>
  <c r="G70" i="2" l="1"/>
  <c r="G69" i="2"/>
  <c r="G64" i="2"/>
  <c r="G57" i="2"/>
  <c r="C78" i="2"/>
</calcChain>
</file>

<file path=xl/sharedStrings.xml><?xml version="1.0" encoding="utf-8"?>
<sst xmlns="http://schemas.openxmlformats.org/spreadsheetml/2006/main" count="285" uniqueCount="71">
  <si>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</si>
  <si>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</si>
  <si>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</si>
  <si>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</si>
  <si>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</si>
  <si>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</si>
  <si>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</si>
  <si>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</si>
  <si>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</si>
  <si>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</si>
  <si>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</si>
  <si>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</si>
  <si>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</si>
  <si>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</si>
  <si>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</si>
  <si>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</si>
  <si>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</si>
  <si>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</si>
  <si>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</si>
  <si>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</si>
  <si>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</si>
  <si>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</si>
  <si>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</si>
  <si>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</si>
  <si>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</si>
  <si>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</si>
  <si>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</si>
  <si>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</si>
  <si>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</si>
  <si>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25-03-2020  </t>
  </si>
  <si>
    <t>STGO.PRINCIPAL </t>
  </si>
  <si>
    <t>7032840 </t>
  </si>
  <si>
    <t>TRANSFERENCIA OTRO BANCO A AGENCIA DE ADUANAS NEWES LTDA</t>
  </si>
  <si>
    <t>QUINTERO </t>
  </si>
  <si>
    <t>0001782 </t>
  </si>
  <si>
    <t>PAGO DECHEQUE CON DEPOSITO CUENTA CORRIENTE</t>
  </si>
  <si>
    <t>1350016 </t>
  </si>
  <si>
    <t>1800255 </t>
  </si>
  <si>
    <t>0216441 </t>
  </si>
  <si>
    <t>0206508 </t>
  </si>
  <si>
    <t>0201769 </t>
  </si>
  <si>
    <t>0203489 </t>
  </si>
  <si>
    <t>26-03-2020  </t>
  </si>
  <si>
    <t>0001077 </t>
  </si>
  <si>
    <t>TRANSFERENCIA OTRO BANCO DE I MUNICIPALIDAD DE VILLARRICA</t>
  </si>
  <si>
    <t>TRANSFERENCIA OTRO BANCO DE TERCERO</t>
  </si>
  <si>
    <t>TRANSFERENCIA OTRO BANCO DE I MUNIC DE LOS ANGELES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</si>
  <si>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</si>
  <si>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</si>
  <si>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</si>
  <si>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</si>
  <si>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</si>
  <si>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</si>
  <si>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</si>
  <si>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CENTRAL DE ABASTECIMIENTOS SNS EQUIP Y</t>
  </si>
  <si>
    <t>0001711 </t>
  </si>
  <si>
    <t>Numeros</t>
  </si>
  <si>
    <t>Ingresos</t>
  </si>
  <si>
    <t>12  Comprobantes</t>
  </si>
  <si>
    <t>total</t>
  </si>
  <si>
    <t>ABONO PAGO A PROVEEDORES SERVICIO DE SALUD DE BIO BIO</t>
  </si>
  <si>
    <t>ABONO PAGO A PROVEEDORES SERVICIO DE SALUD DE RELONCAVI</t>
  </si>
  <si>
    <t>ABONO PAGO A PROVEEDORES SERVICIO DE SALUD DE IQUIQUE</t>
  </si>
  <si>
    <t>ABONO PAGO A PROVEEDORES HOSPITAL DE MAULLIN</t>
  </si>
  <si>
    <t>69.180.900-5 STGO.PRINCIPAL </t>
  </si>
  <si>
    <t>PAGOS VARIOS DESDE BCO BCI MUNICIPALIDAD DE VICTORIA</t>
  </si>
  <si>
    <t>69.073.500-8 STGO.PRINCIPAL </t>
  </si>
  <si>
    <t>BANCO DE CREDITO E INVERSIONES MUNICIPALIDAD DE SANTO DOMINGO</t>
  </si>
  <si>
    <t>pendiente por identificar</t>
  </si>
  <si>
    <t>61.608.108-k STGO.PRINCIPAL </t>
  </si>
  <si>
    <t xml:space="preserve"> TRANSFERENCIA SISTEMA PAGO ALTO VALOR SERVICIO DE SALUD DEL SUR UNIDAD HOSPITALARIA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</si>
</sst>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21" fillId="0" borderId="0" xfId="0" applyFont="1" applyAlignment="1">
      <alignment horizontal="right" wrapText="1"/>
    </xf>
    <xf numFmtId="0" fontId="0" fillId="0" borderId="0" xfId="0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0" fillId="0" borderId="10" xfId="0" applyNumberFormat="1" applyBorder="1" applyAlignment="1">
      <alignment horizontal="right" wrapText="1"/>
    </xf>
    <xf numFmtId="0" fontId="0" fillId="0" borderId="10" xfId="0" applyBorder="1"/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3" fontId="21" fillId="0" borderId="10" xfId="0" applyNumberFormat="1" applyFont="1" applyBorder="1" applyAlignment="1">
      <alignment horizontal="right" wrapText="1"/>
    </xf>
    <xf numFmtId="3" fontId="21" fillId="0" borderId="11" xfId="0" applyNumberFormat="1" applyFont="1" applyBorder="1" applyAlignment="1">
      <alignment horizontal="right"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16" fillId="0" borderId="13" xfId="0" applyFont="1" applyBorder="1" applyAlignment="1">
      <alignment horizontal="right" vertical="top" wrapText="1"/>
    </xf>
    <xf numFmtId="0" fontId="16" fillId="0" borderId="14" xfId="0" applyFont="1" applyBorder="1"/>
    <xf numFmtId="0" fontId="16" fillId="0" borderId="16" xfId="0" applyFont="1" applyBorder="1" applyAlignment="1">
      <alignment horizontal="right" vertical="top" wrapText="1"/>
    </xf>
    <xf numFmtId="0" fontId="16" fillId="0" borderId="17" xfId="0" applyFont="1" applyBorder="1"/>
    <xf numFmtId="0" fontId="22" fillId="0" borderId="0" xfId="0" applyFont="1"/>
    <xf numFmtId="0" fontId="0" fillId="0" borderId="19" xfId="0" applyBorder="1"/>
    <xf numFmtId="3" fontId="21" fillId="0" borderId="20" xfId="0" applyNumberFormat="1" applyFont="1" applyBorder="1" applyAlignment="1">
      <alignment horizontal="right" wrapText="1"/>
    </xf>
    <xf numFmtId="0" fontId="0" fillId="0" borderId="18" xfId="0" applyBorder="1" applyAlignment="1">
      <alignment wrapText="1"/>
    </xf>
    <xf numFmtId="0" fontId="0" fillId="0" borderId="20" xfId="0" applyBorder="1" applyAlignment="1">
      <alignment wrapText="1"/>
    </xf>
    <xf numFmtId="0" fontId="21" fillId="0" borderId="21" xfId="0" applyFont="1" applyBorder="1" applyAlignment="1">
      <alignment horizontal="right" wrapText="1"/>
    </xf>
    <xf numFmtId="3" fontId="23" fillId="0" borderId="22" xfId="0" applyNumberFormat="1" applyFont="1" applyBorder="1" applyAlignment="1">
      <alignment horizontal="right" wrapText="1"/>
    </xf>
    <xf numFmtId="3" fontId="23" fillId="0" borderId="14" xfId="0" applyNumberFormat="1" applyFont="1" applyBorder="1" applyAlignment="1">
      <alignment horizontal="right" wrapText="1"/>
    </xf>
    <xf numFmtId="3" fontId="23" fillId="0" borderId="24" xfId="0" applyNumberFormat="1" applyFont="1" applyBorder="1" applyAlignment="1">
      <alignment horizontal="right" wrapText="1"/>
    </xf>
    <xf numFmtId="3" fontId="23" fillId="0" borderId="17" xfId="0" applyNumberFormat="1" applyFont="1" applyBorder="1" applyAlignment="1">
      <alignment horizontal="right" wrapText="1"/>
    </xf>
    <xf numFmtId="0" fontId="16" fillId="0" borderId="12" xfId="0" applyFont="1" applyBorder="1" applyAlignment="1">
      <alignment wrapText="1"/>
    </xf>
    <xf numFmtId="0" fontId="16" fillId="0" borderId="13" xfId="0" applyFont="1" applyBorder="1" applyAlignment="1">
      <alignment wrapText="1"/>
    </xf>
    <xf numFmtId="0" fontId="23" fillId="0" borderId="13" xfId="0" applyFont="1" applyBorder="1" applyAlignment="1">
      <alignment horizontal="right" wrapText="1"/>
    </xf>
    <xf numFmtId="0" fontId="16" fillId="0" borderId="23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23" fillId="0" borderId="0" xfId="0" applyFont="1" applyBorder="1" applyAlignment="1">
      <alignment horizontal="right" wrapText="1"/>
    </xf>
    <xf numFmtId="0" fontId="16" fillId="0" borderId="15" xfId="0" applyFont="1" applyBorder="1" applyAlignment="1">
      <alignment wrapText="1"/>
    </xf>
    <xf numFmtId="0" fontId="16" fillId="0" borderId="16" xfId="0" applyFont="1" applyBorder="1" applyAlignment="1">
      <alignment wrapText="1"/>
    </xf>
    <xf numFmtId="0" fontId="23" fillId="0" borderId="16" xfId="0" applyFont="1" applyBorder="1" applyAlignment="1">
      <alignment horizontal="right" wrapText="1"/>
    </xf>
    <xf numFmtId="0" fontId="0" fillId="0" borderId="25" xfId="0" applyBorder="1" applyAlignment="1">
      <alignment wrapText="1"/>
    </xf>
    <xf numFmtId="0" fontId="21" fillId="0" borderId="26" xfId="0" applyFont="1" applyBorder="1" applyAlignment="1">
      <alignment horizontal="right" wrapText="1"/>
    </xf>
    <xf numFmtId="3" fontId="23" fillId="0" borderId="27" xfId="0" applyNumberFormat="1" applyFont="1" applyBorder="1" applyAlignment="1">
      <alignment horizontal="right" wrapText="1"/>
    </xf>
    <xf numFmtId="0" fontId="23" fillId="0" borderId="24" xfId="0" applyFont="1" applyBorder="1" applyAlignment="1">
      <alignment horizontal="right"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3" fontId="21" fillId="0" borderId="11" xfId="0" applyNumberFormat="1" applyFont="1" applyBorder="1" applyAlignment="1">
      <alignment horizontal="right" vertical="center" wrapText="1"/>
    </xf>
    <xf numFmtId="0" fontId="0" fillId="0" borderId="0" xfId="0" applyBorder="1" applyAlignment="1">
      <alignment vertical="center" wrapText="1"/>
    </xf>
    <xf numFmtId="0" fontId="21" fillId="0" borderId="0" xfId="0" applyFont="1" applyBorder="1" applyAlignment="1">
      <alignment horizontal="right" vertical="center" wrapText="1"/>
    </xf>
    <xf numFmtId="0" fontId="0" fillId="0" borderId="0" xfId="0" applyBorder="1" applyAlignment="1">
      <alignment vertical="center"/>
    </xf>
    <xf numFmtId="0" fontId="16" fillId="0" borderId="0" xfId="0" applyFont="1" applyBorder="1" applyAlignment="1">
      <alignment horizontal="right" vertical="top" wrapText="1"/>
    </xf>
    <xf numFmtId="3" fontId="23" fillId="0" borderId="32" xfId="0" applyNumberFormat="1" applyFont="1" applyBorder="1" applyAlignment="1">
      <alignment horizontal="right" wrapText="1"/>
    </xf>
    <xf numFmtId="0" fontId="16" fillId="0" borderId="30" xfId="0" applyFont="1" applyBorder="1" applyAlignment="1">
      <alignment wrapText="1"/>
    </xf>
    <xf numFmtId="0" fontId="16" fillId="0" borderId="31" xfId="0" applyFont="1" applyBorder="1" applyAlignment="1">
      <alignment wrapText="1"/>
    </xf>
    <xf numFmtId="0" fontId="23" fillId="0" borderId="31" xfId="0" applyFont="1" applyBorder="1" applyAlignment="1">
      <alignment horizontal="right" wrapText="1"/>
    </xf>
    <xf numFmtId="0" fontId="16" fillId="0" borderId="11" xfId="0" applyFont="1" applyBorder="1" applyAlignment="1">
      <alignment wrapText="1"/>
    </xf>
    <xf numFmtId="3" fontId="23" fillId="0" borderId="28" xfId="0" applyNumberFormat="1" applyFont="1" applyBorder="1" applyAlignment="1">
      <alignment horizontal="right" wrapText="1"/>
    </xf>
    <xf numFmtId="0" fontId="16" fillId="0" borderId="10" xfId="0" applyFont="1" applyBorder="1" applyAlignment="1">
      <alignment wrapText="1"/>
    </xf>
    <xf numFmtId="0" fontId="21" fillId="0" borderId="18" xfId="0" applyFont="1" applyBorder="1" applyAlignment="1">
      <alignment horizontal="right" wrapText="1"/>
    </xf>
    <xf numFmtId="0" fontId="23" fillId="0" borderId="25" xfId="0" applyFont="1" applyBorder="1" applyAlignment="1">
      <alignment horizontal="right" wrapText="1"/>
    </xf>
    <xf numFmtId="0" fontId="24" fillId="0" borderId="19" xfId="0" applyFont="1" applyBorder="1" applyAlignment="1">
      <alignment wrapText="1"/>
    </xf>
    <xf numFmtId="0" fontId="16" fillId="0" borderId="11" xfId="0" applyFont="1" applyBorder="1" applyAlignment="1">
      <alignment vertical="center" wrapText="1"/>
    </xf>
    <xf numFmtId="0" fontId="21" fillId="0" borderId="21" xfId="0" applyFont="1" applyBorder="1" applyAlignment="1">
      <alignment horizontal="right" vertical="center" wrapText="1"/>
    </xf>
    <xf numFmtId="3" fontId="23" fillId="0" borderId="28" xfId="0" applyNumberFormat="1" applyFont="1" applyBorder="1" applyAlignment="1">
      <alignment horizontal="right" vertical="center" wrapText="1"/>
    </xf>
    <xf numFmtId="0" fontId="21" fillId="0" borderId="18" xfId="0" applyFont="1" applyBorder="1" applyAlignment="1">
      <alignment horizontal="right" vertical="center" wrapText="1"/>
    </xf>
    <xf numFmtId="0" fontId="22" fillId="0" borderId="29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16" fillId="0" borderId="0" xfId="0" applyFont="1" applyAlignment="1">
      <alignment wrapText="1"/>
    </xf>
    <xf numFmtId="0" fontId="0" fillId="0" borderId="0" xfId="0" applyAlignment="1">
      <alignment wrapText="1"/>
    </xf>
    <xf numFmtId="0" fontId="20" fillId="0" borderId="0" xfId="0" applyFont="1" applyAlignment="1">
      <alignment wrapText="1"/>
    </xf>
    <xf numFmtId="0" fontId="16" fillId="0" borderId="12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16" fillId="0" borderId="0" xfId="0" applyFont="1" applyBorder="1" applyAlignment="1">
      <alignment vertical="top"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0" xfId="0" applyAlignment="1">
      <alignment horizontal="right" wrapText="1"/>
    </xf>
    <xf numFmtId="0" fontId="20" fillId="0" borderId="0" xfId="0" applyFont="1" applyAlignment="1">
      <alignment horizontal="center" vertical="center" wrapText="1"/>
    </xf>
    <xf numFmtId="0" fontId="0" fillId="0" borderId="11" xfId="0" applyBorder="1" applyAlignment="1">
      <alignment vertical="center" wrapText="1"/>
    </xf>
    <xf numFmtId="0" fontId="0" fillId="0" borderId="10" xfId="0" applyBorder="1" applyAlignment="1">
      <alignment vertical="center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83"/>
  <sheetViews>
    <sheetView showGridLines="0" tabSelected="1" topLeftCell="A49" workbookViewId="0">
      <selection activeCell="E52" sqref="E52"/>
    </sheetView>
  </sheetViews>
  <sheetFormatPr baseColWidth="10" defaultRowHeight="15" x14ac:dyDescent="0.25"/>
  <cols>
    <col min="1" max="1" width="17.85546875" bestFit="1" customWidth="1"/>
    <col min="2" max="2" width="19.42578125" customWidth="1"/>
    <col min="3" max="3" width="16.140625" bestFit="1" customWidth="1"/>
    <col min="4" max="4" width="12.7109375" bestFit="1" customWidth="1"/>
    <col min="5" max="5" width="45.7109375" bestFit="1" customWidth="1"/>
    <col min="6" max="6" width="9.5703125" bestFit="1" customWidth="1"/>
    <col min="7" max="7" width="10.7109375" bestFit="1" customWidth="1"/>
  </cols>
  <sheetData>
    <row r="1" spans="1:7" ht="18" customHeight="1" x14ac:dyDescent="0.25">
      <c r="A1" s="69" t="s">
        <v>0</v>
      </c>
      <c r="B1" s="69"/>
      <c r="C1" s="69"/>
      <c r="D1" s="69"/>
      <c r="E1" s="69"/>
    </row>
    <row r="2" spans="1:7" x14ac:dyDescent="0.25">
      <c r="A2" s="68"/>
      <c r="B2" s="68"/>
      <c r="C2" s="68"/>
      <c r="D2" s="68"/>
      <c r="E2" s="68"/>
      <c r="F2" s="68"/>
    </row>
    <row r="3" spans="1:7" ht="15" customHeight="1" x14ac:dyDescent="0.25">
      <c r="A3" s="67" t="s">
        <v>1</v>
      </c>
      <c r="B3" s="67"/>
      <c r="C3" s="67"/>
      <c r="D3" s="67"/>
      <c r="E3" s="67"/>
    </row>
    <row r="4" spans="1:7" x14ac:dyDescent="0.25">
      <c r="A4" s="68"/>
      <c r="B4" s="68"/>
      <c r="C4" s="68"/>
      <c r="D4" s="68"/>
      <c r="E4" s="68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43917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21" t="s">
        <v>58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60</v>
      </c>
      <c r="C12" s="1"/>
      <c r="D12" s="2" t="s">
        <v>16</v>
      </c>
      <c r="E12" s="4">
        <v>43915</v>
      </c>
    </row>
    <row r="13" spans="1:7" x14ac:dyDescent="0.25">
      <c r="A13" s="2" t="s">
        <v>17</v>
      </c>
      <c r="B13" s="3">
        <v>48</v>
      </c>
      <c r="C13" s="1"/>
      <c r="D13" s="2" t="s">
        <v>18</v>
      </c>
      <c r="E13" s="4">
        <v>43916</v>
      </c>
    </row>
    <row r="14" spans="1:7" x14ac:dyDescent="0.25">
      <c r="A14" s="2" t="s">
        <v>19</v>
      </c>
      <c r="B14" s="4">
        <v>43915</v>
      </c>
      <c r="C14" s="1"/>
      <c r="D14" s="1"/>
      <c r="E14" s="1"/>
    </row>
    <row r="15" spans="1:7" ht="15" customHeight="1" x14ac:dyDescent="0.25">
      <c r="A15" s="67" t="s">
        <v>20</v>
      </c>
      <c r="B15" s="67"/>
      <c r="C15" s="67"/>
      <c r="D15" s="67"/>
      <c r="E15" s="67"/>
      <c r="F15" s="67"/>
      <c r="G15" s="67"/>
    </row>
    <row r="16" spans="1:7" ht="15.75" thickBot="1" x14ac:dyDescent="0.3">
      <c r="A16" s="68"/>
      <c r="B16" s="68"/>
      <c r="C16" s="68"/>
      <c r="D16" s="68"/>
      <c r="E16" s="68"/>
      <c r="F16" s="68"/>
      <c r="G16" s="68"/>
    </row>
    <row r="17" spans="1:8" x14ac:dyDescent="0.25">
      <c r="A17" s="70" t="s">
        <v>21</v>
      </c>
      <c r="B17" s="71"/>
      <c r="C17" s="71" t="s">
        <v>22</v>
      </c>
      <c r="D17" s="71" t="s">
        <v>23</v>
      </c>
      <c r="E17" s="71" t="s">
        <v>24</v>
      </c>
      <c r="F17" s="17" t="s">
        <v>25</v>
      </c>
      <c r="G17" s="17" t="s">
        <v>27</v>
      </c>
      <c r="H17" s="18" t="s">
        <v>56</v>
      </c>
    </row>
    <row r="18" spans="1:8" ht="15.75" thickBot="1" x14ac:dyDescent="0.3">
      <c r="A18" s="72"/>
      <c r="B18" s="73"/>
      <c r="C18" s="74"/>
      <c r="D18" s="74"/>
      <c r="E18" s="74"/>
      <c r="F18" s="50" t="s">
        <v>26</v>
      </c>
      <c r="G18" s="50" t="s">
        <v>28</v>
      </c>
      <c r="H18" s="20" t="s">
        <v>57</v>
      </c>
    </row>
    <row r="19" spans="1:8" ht="30" customHeight="1" thickBot="1" x14ac:dyDescent="0.3">
      <c r="A19" s="76" t="s">
        <v>29</v>
      </c>
      <c r="B19" s="77"/>
      <c r="C19" s="52" t="s">
        <v>33</v>
      </c>
      <c r="D19" s="53" t="s">
        <v>34</v>
      </c>
      <c r="E19" s="53" t="s">
        <v>35</v>
      </c>
      <c r="F19" s="54">
        <v>0</v>
      </c>
      <c r="G19" s="51">
        <v>2148</v>
      </c>
      <c r="H19" s="65">
        <v>1272</v>
      </c>
    </row>
    <row r="20" spans="1:8" ht="30" customHeight="1" thickBot="1" x14ac:dyDescent="0.3">
      <c r="A20" s="75" t="s">
        <v>29</v>
      </c>
      <c r="B20" s="75"/>
      <c r="C20" s="16" t="s">
        <v>30</v>
      </c>
      <c r="D20" s="16" t="s">
        <v>40</v>
      </c>
      <c r="E20" s="55" t="s">
        <v>60</v>
      </c>
      <c r="F20" s="26">
        <v>0</v>
      </c>
      <c r="G20" s="56">
        <v>501010</v>
      </c>
      <c r="H20" s="66">
        <v>1273</v>
      </c>
    </row>
    <row r="21" spans="1:8" ht="30" customHeight="1" thickBot="1" x14ac:dyDescent="0.3">
      <c r="A21" s="75" t="s">
        <v>29</v>
      </c>
      <c r="B21" s="75"/>
      <c r="C21" s="8" t="s">
        <v>30</v>
      </c>
      <c r="D21" s="8" t="s">
        <v>41</v>
      </c>
      <c r="E21" s="57" t="s">
        <v>61</v>
      </c>
      <c r="F21" s="58">
        <v>0</v>
      </c>
      <c r="G21" s="56">
        <v>1365735</v>
      </c>
      <c r="H21" s="65">
        <v>1274</v>
      </c>
    </row>
    <row r="22" spans="1:8" ht="30" customHeight="1" thickBot="1" x14ac:dyDescent="0.3">
      <c r="A22" s="75" t="s">
        <v>29</v>
      </c>
      <c r="B22" s="75"/>
      <c r="C22" s="8" t="s">
        <v>30</v>
      </c>
      <c r="D22" s="8" t="s">
        <v>39</v>
      </c>
      <c r="E22" s="57" t="s">
        <v>62</v>
      </c>
      <c r="F22" s="58">
        <v>0</v>
      </c>
      <c r="G22" s="56">
        <v>86601</v>
      </c>
      <c r="H22" s="66">
        <v>1275</v>
      </c>
    </row>
    <row r="23" spans="1:8" ht="30" customHeight="1" thickBot="1" x14ac:dyDescent="0.3">
      <c r="A23" s="75" t="s">
        <v>29</v>
      </c>
      <c r="B23" s="75"/>
      <c r="C23" s="8" t="s">
        <v>30</v>
      </c>
      <c r="D23" s="8" t="s">
        <v>38</v>
      </c>
      <c r="E23" s="57" t="s">
        <v>63</v>
      </c>
      <c r="F23" s="58">
        <v>0</v>
      </c>
      <c r="G23" s="56">
        <v>26739</v>
      </c>
      <c r="H23" s="65">
        <v>1276</v>
      </c>
    </row>
    <row r="24" spans="1:8" ht="30" customHeight="1" thickBot="1" x14ac:dyDescent="0.3">
      <c r="A24" s="75" t="s">
        <v>29</v>
      </c>
      <c r="B24" s="75"/>
      <c r="C24" s="8" t="s">
        <v>64</v>
      </c>
      <c r="D24" s="8" t="s">
        <v>36</v>
      </c>
      <c r="E24" s="57" t="s">
        <v>65</v>
      </c>
      <c r="F24" s="58">
        <v>0</v>
      </c>
      <c r="G24" s="56">
        <v>10737</v>
      </c>
      <c r="H24" s="66">
        <v>1277</v>
      </c>
    </row>
    <row r="25" spans="1:8" ht="30" customHeight="1" thickBot="1" x14ac:dyDescent="0.3">
      <c r="A25" s="75" t="s">
        <v>29</v>
      </c>
      <c r="B25" s="75"/>
      <c r="C25" s="8" t="s">
        <v>66</v>
      </c>
      <c r="D25" s="8" t="s">
        <v>37</v>
      </c>
      <c r="E25" s="57" t="s">
        <v>67</v>
      </c>
      <c r="F25" s="58">
        <v>0</v>
      </c>
      <c r="G25" s="56">
        <v>22156</v>
      </c>
      <c r="H25" s="65">
        <v>1278</v>
      </c>
    </row>
    <row r="26" spans="1:8" ht="30" customHeight="1" thickBot="1" x14ac:dyDescent="0.3">
      <c r="A26" s="75" t="s">
        <v>29</v>
      </c>
      <c r="B26" s="75"/>
      <c r="C26" s="8" t="s">
        <v>30</v>
      </c>
      <c r="D26" s="25" t="s">
        <v>31</v>
      </c>
      <c r="E26" s="25" t="s">
        <v>32</v>
      </c>
      <c r="F26" s="23">
        <v>110279</v>
      </c>
      <c r="G26" s="59">
        <v>0</v>
      </c>
      <c r="H26" s="66"/>
    </row>
    <row r="27" spans="1:8" ht="30" customHeight="1" x14ac:dyDescent="0.25">
      <c r="A27" s="75" t="s">
        <v>42</v>
      </c>
      <c r="B27" s="75"/>
      <c r="C27" s="24" t="s">
        <v>30</v>
      </c>
      <c r="D27" s="31" t="s">
        <v>43</v>
      </c>
      <c r="E27" s="32" t="s">
        <v>46</v>
      </c>
      <c r="F27" s="33">
        <v>0</v>
      </c>
      <c r="G27" s="28">
        <v>683060</v>
      </c>
      <c r="H27" s="66"/>
    </row>
    <row r="28" spans="1:8" ht="30" customHeight="1" x14ac:dyDescent="0.25">
      <c r="A28" s="75" t="s">
        <v>42</v>
      </c>
      <c r="B28" s="75"/>
      <c r="C28" s="24" t="s">
        <v>30</v>
      </c>
      <c r="D28" s="34" t="s">
        <v>43</v>
      </c>
      <c r="E28" s="35" t="s">
        <v>46</v>
      </c>
      <c r="F28" s="36">
        <v>0</v>
      </c>
      <c r="G28" s="43">
        <v>253</v>
      </c>
      <c r="H28" s="66"/>
    </row>
    <row r="29" spans="1:8" ht="30" customHeight="1" x14ac:dyDescent="0.25">
      <c r="A29" s="75" t="s">
        <v>42</v>
      </c>
      <c r="B29" s="75"/>
      <c r="C29" s="24" t="s">
        <v>30</v>
      </c>
      <c r="D29" s="34" t="s">
        <v>43</v>
      </c>
      <c r="E29" s="35" t="s">
        <v>46</v>
      </c>
      <c r="F29" s="36">
        <v>0</v>
      </c>
      <c r="G29" s="43">
        <v>299</v>
      </c>
      <c r="H29" s="66"/>
    </row>
    <row r="30" spans="1:8" ht="30" customHeight="1" x14ac:dyDescent="0.25">
      <c r="A30" s="75" t="s">
        <v>42</v>
      </c>
      <c r="B30" s="75"/>
      <c r="C30" s="24" t="s">
        <v>30</v>
      </c>
      <c r="D30" s="34" t="s">
        <v>43</v>
      </c>
      <c r="E30" s="35" t="s">
        <v>46</v>
      </c>
      <c r="F30" s="36">
        <v>0</v>
      </c>
      <c r="G30" s="43">
        <v>433</v>
      </c>
      <c r="H30" s="66"/>
    </row>
    <row r="31" spans="1:8" ht="30" customHeight="1" x14ac:dyDescent="0.25">
      <c r="A31" s="75" t="s">
        <v>42</v>
      </c>
      <c r="B31" s="75"/>
      <c r="C31" s="24" t="s">
        <v>30</v>
      </c>
      <c r="D31" s="34" t="s">
        <v>43</v>
      </c>
      <c r="E31" s="35" t="s">
        <v>46</v>
      </c>
      <c r="F31" s="36">
        <v>0</v>
      </c>
      <c r="G31" s="43">
        <v>833</v>
      </c>
      <c r="H31" s="66"/>
    </row>
    <row r="32" spans="1:8" ht="30" customHeight="1" x14ac:dyDescent="0.25">
      <c r="A32" s="75" t="s">
        <v>42</v>
      </c>
      <c r="B32" s="75"/>
      <c r="C32" s="24" t="s">
        <v>30</v>
      </c>
      <c r="D32" s="34" t="s">
        <v>43</v>
      </c>
      <c r="E32" s="35" t="s">
        <v>46</v>
      </c>
      <c r="F32" s="36">
        <v>0</v>
      </c>
      <c r="G32" s="43">
        <v>850</v>
      </c>
      <c r="H32" s="66"/>
    </row>
    <row r="33" spans="1:8" ht="30" customHeight="1" x14ac:dyDescent="0.25">
      <c r="A33" s="75" t="s">
        <v>42</v>
      </c>
      <c r="B33" s="75"/>
      <c r="C33" s="24" t="s">
        <v>30</v>
      </c>
      <c r="D33" s="34" t="s">
        <v>43</v>
      </c>
      <c r="E33" s="35" t="s">
        <v>46</v>
      </c>
      <c r="F33" s="36">
        <v>0</v>
      </c>
      <c r="G33" s="29">
        <v>1125</v>
      </c>
      <c r="H33" s="66"/>
    </row>
    <row r="34" spans="1:8" ht="30" customHeight="1" x14ac:dyDescent="0.25">
      <c r="A34" s="75" t="s">
        <v>42</v>
      </c>
      <c r="B34" s="75"/>
      <c r="C34" s="24" t="s">
        <v>30</v>
      </c>
      <c r="D34" s="34" t="s">
        <v>43</v>
      </c>
      <c r="E34" s="35" t="s">
        <v>46</v>
      </c>
      <c r="F34" s="36">
        <v>0</v>
      </c>
      <c r="G34" s="29">
        <v>1666</v>
      </c>
      <c r="H34" s="66"/>
    </row>
    <row r="35" spans="1:8" ht="30" customHeight="1" x14ac:dyDescent="0.25">
      <c r="A35" s="75" t="s">
        <v>42</v>
      </c>
      <c r="B35" s="75"/>
      <c r="C35" s="24" t="s">
        <v>30</v>
      </c>
      <c r="D35" s="34" t="s">
        <v>43</v>
      </c>
      <c r="E35" s="35" t="s">
        <v>46</v>
      </c>
      <c r="F35" s="36">
        <v>0</v>
      </c>
      <c r="G35" s="29">
        <v>1749</v>
      </c>
      <c r="H35" s="66"/>
    </row>
    <row r="36" spans="1:8" ht="30" customHeight="1" x14ac:dyDescent="0.25">
      <c r="A36" s="75" t="s">
        <v>42</v>
      </c>
      <c r="B36" s="75"/>
      <c r="C36" s="24" t="s">
        <v>30</v>
      </c>
      <c r="D36" s="34" t="s">
        <v>43</v>
      </c>
      <c r="E36" s="35" t="s">
        <v>46</v>
      </c>
      <c r="F36" s="36">
        <v>0</v>
      </c>
      <c r="G36" s="29">
        <v>1899</v>
      </c>
      <c r="H36" s="66"/>
    </row>
    <row r="37" spans="1:8" ht="30" customHeight="1" x14ac:dyDescent="0.25">
      <c r="A37" s="75" t="s">
        <v>42</v>
      </c>
      <c r="B37" s="75"/>
      <c r="C37" s="24" t="s">
        <v>30</v>
      </c>
      <c r="D37" s="34" t="s">
        <v>43</v>
      </c>
      <c r="E37" s="35" t="s">
        <v>46</v>
      </c>
      <c r="F37" s="36">
        <v>0</v>
      </c>
      <c r="G37" s="29">
        <v>4082</v>
      </c>
      <c r="H37" s="66"/>
    </row>
    <row r="38" spans="1:8" ht="30" customHeight="1" x14ac:dyDescent="0.25">
      <c r="A38" s="75" t="s">
        <v>42</v>
      </c>
      <c r="B38" s="75"/>
      <c r="C38" s="24" t="s">
        <v>30</v>
      </c>
      <c r="D38" s="34" t="s">
        <v>43</v>
      </c>
      <c r="E38" s="35" t="s">
        <v>46</v>
      </c>
      <c r="F38" s="36">
        <v>0</v>
      </c>
      <c r="G38" s="29">
        <v>4332</v>
      </c>
      <c r="H38" s="66"/>
    </row>
    <row r="39" spans="1:8" ht="30" customHeight="1" x14ac:dyDescent="0.25">
      <c r="A39" s="75" t="s">
        <v>42</v>
      </c>
      <c r="B39" s="75"/>
      <c r="C39" s="24" t="s">
        <v>30</v>
      </c>
      <c r="D39" s="34" t="s">
        <v>43</v>
      </c>
      <c r="E39" s="35" t="s">
        <v>46</v>
      </c>
      <c r="F39" s="36">
        <v>0</v>
      </c>
      <c r="G39" s="29">
        <v>6997</v>
      </c>
      <c r="H39" s="66"/>
    </row>
    <row r="40" spans="1:8" ht="30" customHeight="1" x14ac:dyDescent="0.25">
      <c r="A40" s="75" t="s">
        <v>42</v>
      </c>
      <c r="B40" s="75"/>
      <c r="C40" s="24" t="s">
        <v>30</v>
      </c>
      <c r="D40" s="34" t="s">
        <v>43</v>
      </c>
      <c r="E40" s="35" t="s">
        <v>46</v>
      </c>
      <c r="F40" s="36">
        <v>0</v>
      </c>
      <c r="G40" s="29">
        <v>7497</v>
      </c>
      <c r="H40" s="66"/>
    </row>
    <row r="41" spans="1:8" ht="30" customHeight="1" x14ac:dyDescent="0.25">
      <c r="A41" s="75" t="s">
        <v>42</v>
      </c>
      <c r="B41" s="75"/>
      <c r="C41" s="24" t="s">
        <v>30</v>
      </c>
      <c r="D41" s="34" t="s">
        <v>43</v>
      </c>
      <c r="E41" s="35" t="s">
        <v>46</v>
      </c>
      <c r="F41" s="36">
        <v>0</v>
      </c>
      <c r="G41" s="29">
        <v>9030</v>
      </c>
      <c r="H41" s="66"/>
    </row>
    <row r="42" spans="1:8" ht="30" customHeight="1" x14ac:dyDescent="0.25">
      <c r="A42" s="75" t="s">
        <v>42</v>
      </c>
      <c r="B42" s="75"/>
      <c r="C42" s="24" t="s">
        <v>30</v>
      </c>
      <c r="D42" s="34" t="s">
        <v>43</v>
      </c>
      <c r="E42" s="35" t="s">
        <v>46</v>
      </c>
      <c r="F42" s="36">
        <v>0</v>
      </c>
      <c r="G42" s="29">
        <v>10329</v>
      </c>
      <c r="H42" s="66"/>
    </row>
    <row r="43" spans="1:8" ht="30" customHeight="1" x14ac:dyDescent="0.25">
      <c r="A43" s="75" t="s">
        <v>42</v>
      </c>
      <c r="B43" s="75"/>
      <c r="C43" s="24" t="s">
        <v>30</v>
      </c>
      <c r="D43" s="34" t="s">
        <v>43</v>
      </c>
      <c r="E43" s="35" t="s">
        <v>46</v>
      </c>
      <c r="F43" s="36">
        <v>0</v>
      </c>
      <c r="G43" s="29">
        <v>10818</v>
      </c>
      <c r="H43" s="66"/>
    </row>
    <row r="44" spans="1:8" ht="30" customHeight="1" x14ac:dyDescent="0.25">
      <c r="A44" s="75" t="s">
        <v>42</v>
      </c>
      <c r="B44" s="75"/>
      <c r="C44" s="24" t="s">
        <v>30</v>
      </c>
      <c r="D44" s="34" t="s">
        <v>43</v>
      </c>
      <c r="E44" s="35" t="s">
        <v>46</v>
      </c>
      <c r="F44" s="36">
        <v>0</v>
      </c>
      <c r="G44" s="29">
        <v>11079</v>
      </c>
      <c r="H44" s="66"/>
    </row>
    <row r="45" spans="1:8" ht="30" customHeight="1" x14ac:dyDescent="0.25">
      <c r="A45" s="75" t="s">
        <v>42</v>
      </c>
      <c r="B45" s="75"/>
      <c r="C45" s="24" t="s">
        <v>30</v>
      </c>
      <c r="D45" s="34" t="s">
        <v>43</v>
      </c>
      <c r="E45" s="35" t="s">
        <v>46</v>
      </c>
      <c r="F45" s="36">
        <v>0</v>
      </c>
      <c r="G45" s="29">
        <v>12495</v>
      </c>
      <c r="H45" s="66"/>
    </row>
    <row r="46" spans="1:8" ht="30" customHeight="1" x14ac:dyDescent="0.25">
      <c r="A46" s="75" t="s">
        <v>42</v>
      </c>
      <c r="B46" s="75"/>
      <c r="C46" s="24" t="s">
        <v>30</v>
      </c>
      <c r="D46" s="34" t="s">
        <v>43</v>
      </c>
      <c r="E46" s="35" t="s">
        <v>46</v>
      </c>
      <c r="F46" s="36">
        <v>0</v>
      </c>
      <c r="G46" s="29">
        <v>12620</v>
      </c>
      <c r="H46" s="66"/>
    </row>
    <row r="47" spans="1:8" ht="30" customHeight="1" x14ac:dyDescent="0.25">
      <c r="A47" s="75" t="s">
        <v>42</v>
      </c>
      <c r="B47" s="75"/>
      <c r="C47" s="24" t="s">
        <v>30</v>
      </c>
      <c r="D47" s="34" t="s">
        <v>43</v>
      </c>
      <c r="E47" s="35" t="s">
        <v>46</v>
      </c>
      <c r="F47" s="36">
        <v>0</v>
      </c>
      <c r="G47" s="29">
        <v>14328</v>
      </c>
      <c r="H47" s="66"/>
    </row>
    <row r="48" spans="1:8" ht="30" customHeight="1" x14ac:dyDescent="0.25">
      <c r="A48" s="75" t="s">
        <v>42</v>
      </c>
      <c r="B48" s="75"/>
      <c r="C48" s="24" t="s">
        <v>30</v>
      </c>
      <c r="D48" s="34" t="s">
        <v>43</v>
      </c>
      <c r="E48" s="35" t="s">
        <v>46</v>
      </c>
      <c r="F48" s="36">
        <v>0</v>
      </c>
      <c r="G48" s="29">
        <v>15307</v>
      </c>
      <c r="H48" s="66"/>
    </row>
    <row r="49" spans="1:8" ht="30" customHeight="1" x14ac:dyDescent="0.25">
      <c r="A49" s="75" t="s">
        <v>42</v>
      </c>
      <c r="B49" s="75"/>
      <c r="C49" s="24" t="s">
        <v>30</v>
      </c>
      <c r="D49" s="34" t="s">
        <v>43</v>
      </c>
      <c r="E49" s="35" t="s">
        <v>46</v>
      </c>
      <c r="F49" s="36">
        <v>0</v>
      </c>
      <c r="G49" s="29">
        <v>17201</v>
      </c>
      <c r="H49" s="66"/>
    </row>
    <row r="50" spans="1:8" ht="30" customHeight="1" x14ac:dyDescent="0.25">
      <c r="A50" s="75" t="s">
        <v>42</v>
      </c>
      <c r="B50" s="75"/>
      <c r="C50" s="24" t="s">
        <v>30</v>
      </c>
      <c r="D50" s="34" t="s">
        <v>43</v>
      </c>
      <c r="E50" s="35" t="s">
        <v>46</v>
      </c>
      <c r="F50" s="36">
        <v>0</v>
      </c>
      <c r="G50" s="29">
        <v>17993</v>
      </c>
      <c r="H50" s="66"/>
    </row>
    <row r="51" spans="1:8" ht="30" customHeight="1" x14ac:dyDescent="0.25">
      <c r="A51" s="75" t="s">
        <v>42</v>
      </c>
      <c r="B51" s="75"/>
      <c r="C51" s="24" t="s">
        <v>30</v>
      </c>
      <c r="D51" s="34" t="s">
        <v>43</v>
      </c>
      <c r="E51" s="35" t="s">
        <v>46</v>
      </c>
      <c r="F51" s="36">
        <v>0</v>
      </c>
      <c r="G51" s="29">
        <v>19992</v>
      </c>
      <c r="H51" s="66"/>
    </row>
    <row r="52" spans="1:8" ht="30" customHeight="1" x14ac:dyDescent="0.25">
      <c r="A52" s="75" t="s">
        <v>42</v>
      </c>
      <c r="B52" s="75"/>
      <c r="C52" s="24" t="s">
        <v>30</v>
      </c>
      <c r="D52" s="34" t="s">
        <v>43</v>
      </c>
      <c r="E52" s="35" t="s">
        <v>46</v>
      </c>
      <c r="F52" s="36">
        <v>0</v>
      </c>
      <c r="G52" s="29">
        <v>26656</v>
      </c>
      <c r="H52" s="66"/>
    </row>
    <row r="53" spans="1:8" ht="30" customHeight="1" x14ac:dyDescent="0.25">
      <c r="A53" s="75" t="s">
        <v>42</v>
      </c>
      <c r="B53" s="75"/>
      <c r="C53" s="24" t="s">
        <v>30</v>
      </c>
      <c r="D53" s="34" t="s">
        <v>43</v>
      </c>
      <c r="E53" s="35" t="s">
        <v>46</v>
      </c>
      <c r="F53" s="36">
        <v>0</v>
      </c>
      <c r="G53" s="29">
        <v>34986</v>
      </c>
      <c r="H53" s="66"/>
    </row>
    <row r="54" spans="1:8" ht="30" customHeight="1" x14ac:dyDescent="0.25">
      <c r="A54" s="75" t="s">
        <v>42</v>
      </c>
      <c r="B54" s="75"/>
      <c r="C54" s="24" t="s">
        <v>30</v>
      </c>
      <c r="D54" s="34" t="s">
        <v>43</v>
      </c>
      <c r="E54" s="35" t="s">
        <v>46</v>
      </c>
      <c r="F54" s="36">
        <v>0</v>
      </c>
      <c r="G54" s="29">
        <v>39651</v>
      </c>
      <c r="H54" s="66"/>
    </row>
    <row r="55" spans="1:8" ht="30" customHeight="1" x14ac:dyDescent="0.25">
      <c r="A55" s="75" t="s">
        <v>42</v>
      </c>
      <c r="B55" s="75"/>
      <c r="C55" s="24" t="s">
        <v>30</v>
      </c>
      <c r="D55" s="34" t="s">
        <v>43</v>
      </c>
      <c r="E55" s="35" t="s">
        <v>46</v>
      </c>
      <c r="F55" s="36">
        <v>0</v>
      </c>
      <c r="G55" s="29">
        <v>39984</v>
      </c>
      <c r="H55" s="66"/>
    </row>
    <row r="56" spans="1:8" ht="30" customHeight="1" thickBot="1" x14ac:dyDescent="0.3">
      <c r="A56" s="75" t="s">
        <v>42</v>
      </c>
      <c r="B56" s="75"/>
      <c r="C56" s="24" t="s">
        <v>30</v>
      </c>
      <c r="D56" s="37" t="s">
        <v>43</v>
      </c>
      <c r="E56" s="38" t="s">
        <v>46</v>
      </c>
      <c r="F56" s="39">
        <v>0</v>
      </c>
      <c r="G56" s="30">
        <v>73721</v>
      </c>
      <c r="H56" s="66"/>
    </row>
    <row r="57" spans="1:8" ht="18" customHeight="1" thickBot="1" x14ac:dyDescent="0.3">
      <c r="A57" s="8"/>
      <c r="B57" s="8"/>
      <c r="C57" s="8"/>
      <c r="D57" s="40"/>
      <c r="E57" s="40"/>
      <c r="F57" s="41" t="s">
        <v>59</v>
      </c>
      <c r="G57" s="42">
        <f>SUM(G27:G56)</f>
        <v>1081265</v>
      </c>
      <c r="H57" s="66">
        <v>1279</v>
      </c>
    </row>
    <row r="58" spans="1:8" ht="30" customHeight="1" x14ac:dyDescent="0.25">
      <c r="A58" s="75" t="s">
        <v>42</v>
      </c>
      <c r="B58" s="75"/>
      <c r="C58" s="24" t="s">
        <v>30</v>
      </c>
      <c r="D58" s="31" t="s">
        <v>43</v>
      </c>
      <c r="E58" s="32" t="s">
        <v>44</v>
      </c>
      <c r="F58" s="33">
        <v>0</v>
      </c>
      <c r="G58" s="28">
        <v>91954</v>
      </c>
      <c r="H58" s="66"/>
    </row>
    <row r="59" spans="1:8" ht="30" customHeight="1" x14ac:dyDescent="0.25">
      <c r="A59" s="75" t="s">
        <v>42</v>
      </c>
      <c r="B59" s="75"/>
      <c r="C59" s="24" t="s">
        <v>30</v>
      </c>
      <c r="D59" s="34" t="s">
        <v>43</v>
      </c>
      <c r="E59" s="35" t="s">
        <v>44</v>
      </c>
      <c r="F59" s="36">
        <v>0</v>
      </c>
      <c r="G59" s="29">
        <v>117568</v>
      </c>
      <c r="H59" s="66"/>
    </row>
    <row r="60" spans="1:8" ht="30" customHeight="1" x14ac:dyDescent="0.25">
      <c r="A60" s="75" t="s">
        <v>42</v>
      </c>
      <c r="B60" s="75"/>
      <c r="C60" s="24" t="s">
        <v>30</v>
      </c>
      <c r="D60" s="34" t="s">
        <v>43</v>
      </c>
      <c r="E60" s="35" t="s">
        <v>44</v>
      </c>
      <c r="F60" s="36">
        <v>0</v>
      </c>
      <c r="G60" s="29">
        <v>127648</v>
      </c>
      <c r="H60" s="66"/>
    </row>
    <row r="61" spans="1:8" ht="30" customHeight="1" x14ac:dyDescent="0.25">
      <c r="A61" s="75" t="s">
        <v>42</v>
      </c>
      <c r="B61" s="75"/>
      <c r="C61" s="24" t="s">
        <v>30</v>
      </c>
      <c r="D61" s="34" t="s">
        <v>43</v>
      </c>
      <c r="E61" s="35" t="s">
        <v>44</v>
      </c>
      <c r="F61" s="36">
        <v>0</v>
      </c>
      <c r="G61" s="29">
        <v>160100</v>
      </c>
      <c r="H61" s="66"/>
    </row>
    <row r="62" spans="1:8" ht="30" customHeight="1" x14ac:dyDescent="0.25">
      <c r="A62" s="75" t="s">
        <v>42</v>
      </c>
      <c r="B62" s="75"/>
      <c r="C62" s="24" t="s">
        <v>30</v>
      </c>
      <c r="D62" s="34" t="s">
        <v>43</v>
      </c>
      <c r="E62" s="35" t="s">
        <v>44</v>
      </c>
      <c r="F62" s="36">
        <v>0</v>
      </c>
      <c r="G62" s="29">
        <v>334315</v>
      </c>
      <c r="H62" s="66"/>
    </row>
    <row r="63" spans="1:8" ht="30" customHeight="1" thickBot="1" x14ac:dyDescent="0.3">
      <c r="A63" s="75" t="s">
        <v>42</v>
      </c>
      <c r="B63" s="75"/>
      <c r="C63" s="24" t="s">
        <v>30</v>
      </c>
      <c r="D63" s="37" t="s">
        <v>43</v>
      </c>
      <c r="E63" s="38" t="s">
        <v>44</v>
      </c>
      <c r="F63" s="39">
        <v>0</v>
      </c>
      <c r="G63" s="30">
        <v>72774</v>
      </c>
      <c r="H63" s="66"/>
    </row>
    <row r="64" spans="1:8" ht="18.75" customHeight="1" thickBot="1" x14ac:dyDescent="0.3">
      <c r="A64" s="8"/>
      <c r="B64" s="8"/>
      <c r="C64" s="8"/>
      <c r="D64" s="40"/>
      <c r="E64" s="40"/>
      <c r="F64" s="41" t="s">
        <v>59</v>
      </c>
      <c r="G64" s="42">
        <f>SUM(G58:G63)</f>
        <v>904359</v>
      </c>
      <c r="H64" s="66">
        <v>1280</v>
      </c>
    </row>
    <row r="65" spans="1:8" ht="30" customHeight="1" x14ac:dyDescent="0.25">
      <c r="A65" s="75" t="s">
        <v>42</v>
      </c>
      <c r="B65" s="75"/>
      <c r="C65" s="24" t="s">
        <v>30</v>
      </c>
      <c r="D65" s="31" t="s">
        <v>43</v>
      </c>
      <c r="E65" s="32" t="s">
        <v>45</v>
      </c>
      <c r="F65" s="33">
        <v>0</v>
      </c>
      <c r="G65" s="28">
        <v>161381</v>
      </c>
      <c r="H65" s="60" t="s">
        <v>68</v>
      </c>
    </row>
    <row r="66" spans="1:8" ht="30" customHeight="1" x14ac:dyDescent="0.25">
      <c r="A66" s="75" t="s">
        <v>42</v>
      </c>
      <c r="B66" s="75"/>
      <c r="C66" s="24" t="s">
        <v>30</v>
      </c>
      <c r="D66" s="34" t="s">
        <v>43</v>
      </c>
      <c r="E66" s="35" t="s">
        <v>45</v>
      </c>
      <c r="F66" s="36">
        <v>0</v>
      </c>
      <c r="G66" s="29">
        <v>364540</v>
      </c>
      <c r="H66" s="60" t="s">
        <v>68</v>
      </c>
    </row>
    <row r="67" spans="1:8" ht="30" customHeight="1" x14ac:dyDescent="0.25">
      <c r="A67" s="75" t="s">
        <v>42</v>
      </c>
      <c r="B67" s="75"/>
      <c r="C67" s="24" t="s">
        <v>30</v>
      </c>
      <c r="D67" s="34" t="s">
        <v>43</v>
      </c>
      <c r="E67" s="35" t="s">
        <v>45</v>
      </c>
      <c r="F67" s="36">
        <v>0</v>
      </c>
      <c r="G67" s="29">
        <v>40697</v>
      </c>
      <c r="H67" s="60" t="s">
        <v>68</v>
      </c>
    </row>
    <row r="68" spans="1:8" ht="30" customHeight="1" thickBot="1" x14ac:dyDescent="0.3">
      <c r="A68" s="75" t="s">
        <v>42</v>
      </c>
      <c r="B68" s="75"/>
      <c r="C68" s="24" t="s">
        <v>30</v>
      </c>
      <c r="D68" s="37" t="s">
        <v>43</v>
      </c>
      <c r="E68" s="38" t="s">
        <v>45</v>
      </c>
      <c r="F68" s="39">
        <v>0</v>
      </c>
      <c r="G68" s="30">
        <v>64658</v>
      </c>
      <c r="H68" s="60" t="s">
        <v>68</v>
      </c>
    </row>
    <row r="69" spans="1:8" ht="21" customHeight="1" thickBot="1" x14ac:dyDescent="0.3">
      <c r="A69" s="8"/>
      <c r="B69" s="8"/>
      <c r="C69" s="8"/>
      <c r="D69" s="16"/>
      <c r="E69" s="16"/>
      <c r="F69" s="26" t="s">
        <v>59</v>
      </c>
      <c r="G69" s="27">
        <f>SUM(G65:G68)</f>
        <v>631276</v>
      </c>
      <c r="H69" s="22"/>
    </row>
    <row r="70" spans="1:8" x14ac:dyDescent="0.25">
      <c r="A70" s="1"/>
      <c r="B70" s="1"/>
      <c r="C70" s="1"/>
      <c r="D70" s="1"/>
      <c r="E70" s="1"/>
      <c r="F70" s="5"/>
      <c r="G70" s="14">
        <f>G19+G20+G21+G22+G23+G24+G25+G57+G64+G69</f>
        <v>4632026</v>
      </c>
    </row>
    <row r="71" spans="1:8" x14ac:dyDescent="0.25">
      <c r="A71" s="78"/>
      <c r="B71" s="78"/>
      <c r="C71" s="78"/>
      <c r="D71" s="78"/>
      <c r="E71" s="78"/>
      <c r="F71" s="78"/>
      <c r="G71" s="78"/>
    </row>
    <row r="72" spans="1:8" x14ac:dyDescent="0.25">
      <c r="A72" s="68"/>
      <c r="B72" s="68"/>
      <c r="C72" s="68"/>
      <c r="D72" s="68"/>
      <c r="E72" s="68"/>
      <c r="F72" s="68"/>
      <c r="G72" s="68"/>
    </row>
    <row r="73" spans="1:8" ht="15" customHeight="1" x14ac:dyDescent="0.25">
      <c r="A73" s="67" t="s">
        <v>47</v>
      </c>
      <c r="B73" s="67"/>
      <c r="C73" s="67"/>
      <c r="D73" s="67"/>
      <c r="E73" s="67"/>
      <c r="F73" s="67"/>
      <c r="G73" s="67"/>
    </row>
    <row r="74" spans="1:8" x14ac:dyDescent="0.25">
      <c r="A74" s="68"/>
      <c r="B74" s="68"/>
      <c r="C74" s="68"/>
      <c r="D74" s="68"/>
      <c r="E74" s="68"/>
      <c r="F74" s="68"/>
      <c r="G74" s="68"/>
    </row>
    <row r="75" spans="1:8" x14ac:dyDescent="0.25">
      <c r="A75" s="8" t="s">
        <v>48</v>
      </c>
      <c r="B75" s="9">
        <v>4913869527</v>
      </c>
      <c r="C75" s="10"/>
    </row>
    <row r="76" spans="1:8" x14ac:dyDescent="0.25">
      <c r="A76" s="8" t="s">
        <v>49</v>
      </c>
      <c r="B76" s="11">
        <v>0</v>
      </c>
      <c r="C76" s="10"/>
    </row>
    <row r="77" spans="1:8" x14ac:dyDescent="0.25">
      <c r="A77" s="8" t="s">
        <v>50</v>
      </c>
      <c r="B77" s="9">
        <v>110279</v>
      </c>
      <c r="C77" s="10"/>
    </row>
    <row r="78" spans="1:8" x14ac:dyDescent="0.25">
      <c r="A78" s="8" t="s">
        <v>51</v>
      </c>
      <c r="B78" s="11">
        <v>0</v>
      </c>
      <c r="C78" s="12">
        <f>B78+B79</f>
        <v>4632026</v>
      </c>
    </row>
    <row r="79" spans="1:8" x14ac:dyDescent="0.25">
      <c r="A79" s="8" t="s">
        <v>52</v>
      </c>
      <c r="B79" s="9">
        <v>4632026</v>
      </c>
      <c r="C79" s="10"/>
    </row>
    <row r="80" spans="1:8" x14ac:dyDescent="0.25">
      <c r="A80" s="8" t="s">
        <v>53</v>
      </c>
      <c r="B80" s="13">
        <v>4918391274</v>
      </c>
      <c r="C80" s="10"/>
    </row>
    <row r="81" spans="1:1" x14ac:dyDescent="0.25">
      <c r="A81" s="7"/>
    </row>
    <row r="82" spans="1:1" x14ac:dyDescent="0.25">
      <c r="A82" s="7"/>
    </row>
    <row r="83" spans="1:1" x14ac:dyDescent="0.25">
      <c r="A83" s="7"/>
    </row>
  </sheetData>
  <sortState xmlns:xlrd2="http://schemas.microsoft.com/office/spreadsheetml/2017/richdata2" ref="C27:G68">
    <sortCondition ref="E27:E68"/>
  </sortState>
  <mergeCells count="62">
    <mergeCell ref="A61:B61"/>
    <mergeCell ref="A49:B49"/>
    <mergeCell ref="A50:B50"/>
    <mergeCell ref="A51:B51"/>
    <mergeCell ref="A52:B52"/>
    <mergeCell ref="A53:B53"/>
    <mergeCell ref="A55:B55"/>
    <mergeCell ref="A56:B56"/>
    <mergeCell ref="A58:B58"/>
    <mergeCell ref="A59:B59"/>
    <mergeCell ref="A60:B60"/>
    <mergeCell ref="A74:G74"/>
    <mergeCell ref="A62:B62"/>
    <mergeCell ref="A63:B63"/>
    <mergeCell ref="A65:B65"/>
    <mergeCell ref="A66:B66"/>
    <mergeCell ref="A67:B67"/>
    <mergeCell ref="A68:B68"/>
    <mergeCell ref="A71:G71"/>
    <mergeCell ref="A72:G72"/>
    <mergeCell ref="A73:G73"/>
    <mergeCell ref="A54:B54"/>
    <mergeCell ref="A43:B43"/>
    <mergeCell ref="A44:B44"/>
    <mergeCell ref="A45:B45"/>
    <mergeCell ref="A46:B46"/>
    <mergeCell ref="A47:B47"/>
    <mergeCell ref="A48:B48"/>
    <mergeCell ref="A42:B42"/>
    <mergeCell ref="A31:B31"/>
    <mergeCell ref="A32:B32"/>
    <mergeCell ref="A33:B33"/>
    <mergeCell ref="A34:B34"/>
    <mergeCell ref="A35:B35"/>
    <mergeCell ref="A36:B36"/>
    <mergeCell ref="A37:B37"/>
    <mergeCell ref="A38:B38"/>
    <mergeCell ref="A39:B39"/>
    <mergeCell ref="A40:B40"/>
    <mergeCell ref="A41:B41"/>
    <mergeCell ref="A30:B30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3:E3"/>
    <mergeCell ref="A4:E4"/>
    <mergeCell ref="A1:E1"/>
    <mergeCell ref="A2:F2"/>
    <mergeCell ref="A17:B18"/>
    <mergeCell ref="C17:C18"/>
    <mergeCell ref="D17:D18"/>
    <mergeCell ref="E17:E18"/>
    <mergeCell ref="A15:G15"/>
    <mergeCell ref="A16:G16"/>
  </mergeCells>
  <pageMargins left="0.75" right="0.75" top="1" bottom="1" header="0.5" footer="0.5"/>
  <pageSetup scale="62" fitToHeight="0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39"/>
  <sheetViews>
    <sheetView topLeftCell="A4" workbookViewId="0">
      <selection activeCell="J19" sqref="J19"/>
    </sheetView>
  </sheetViews>
  <sheetFormatPr baseColWidth="10" defaultRowHeight="15" x14ac:dyDescent="0.25"/>
  <cols>
    <col min="1" max="1" width="17.85546875" bestFit="1" customWidth="1"/>
    <col min="2" max="2" width="16.140625" customWidth="1"/>
    <col min="3" max="3" width="16.140625" bestFit="1" customWidth="1"/>
    <col min="4" max="4" width="12.7109375" bestFit="1" customWidth="1"/>
    <col min="5" max="5" width="41.140625" bestFit="1" customWidth="1"/>
    <col min="6" max="6" width="9.5703125" bestFit="1" customWidth="1"/>
    <col min="7" max="7" width="10.7109375" bestFit="1" customWidth="1"/>
  </cols>
  <sheetData>
    <row r="1" spans="1:7" ht="18" x14ac:dyDescent="0.25">
      <c r="A1" s="79" t="s">
        <v>0</v>
      </c>
      <c r="B1" s="79"/>
      <c r="C1" s="79"/>
      <c r="D1" s="79"/>
      <c r="E1" s="79"/>
    </row>
    <row r="2" spans="1:7" x14ac:dyDescent="0.25">
      <c r="A2" s="68"/>
      <c r="B2" s="68"/>
      <c r="C2" s="68"/>
      <c r="D2" s="68"/>
      <c r="E2" s="68"/>
      <c r="F2" s="68"/>
    </row>
    <row r="3" spans="1:7" ht="15" customHeight="1" x14ac:dyDescent="0.25">
      <c r="A3" s="67" t="s">
        <v>1</v>
      </c>
      <c r="B3" s="67"/>
      <c r="C3" s="67"/>
      <c r="D3" s="67"/>
      <c r="E3" s="67"/>
    </row>
    <row r="4" spans="1:7" x14ac:dyDescent="0.25">
      <c r="A4" s="68"/>
      <c r="B4" s="68"/>
      <c r="C4" s="68"/>
      <c r="D4" s="68"/>
      <c r="E4" s="68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9210920</v>
      </c>
      <c r="C7" s="1"/>
      <c r="D7" s="2" t="s">
        <v>11</v>
      </c>
      <c r="E7" s="4">
        <v>43917</v>
      </c>
    </row>
    <row r="8" spans="1:7" x14ac:dyDescent="0.25">
      <c r="A8" s="2" t="s">
        <v>12</v>
      </c>
      <c r="B8" s="1" t="s">
        <v>54</v>
      </c>
      <c r="C8" s="1"/>
      <c r="D8" s="1"/>
      <c r="E8" s="1"/>
    </row>
    <row r="9" spans="1:7" ht="21" x14ac:dyDescent="0.35">
      <c r="A9" s="1"/>
      <c r="F9" s="21" t="s">
        <v>58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45</v>
      </c>
      <c r="C12" s="1"/>
      <c r="D12" s="2" t="s">
        <v>16</v>
      </c>
      <c r="E12" s="4">
        <v>43915</v>
      </c>
    </row>
    <row r="13" spans="1:7" x14ac:dyDescent="0.25">
      <c r="A13" s="2" t="s">
        <v>17</v>
      </c>
      <c r="B13" s="3">
        <v>2</v>
      </c>
      <c r="C13" s="1"/>
      <c r="D13" s="2" t="s">
        <v>18</v>
      </c>
      <c r="E13" s="4">
        <v>43915</v>
      </c>
    </row>
    <row r="14" spans="1:7" x14ac:dyDescent="0.25">
      <c r="A14" s="2" t="s">
        <v>19</v>
      </c>
      <c r="B14" s="4">
        <v>43915</v>
      </c>
      <c r="C14" s="1"/>
      <c r="D14" s="1"/>
      <c r="E14" s="1"/>
    </row>
    <row r="15" spans="1:7" ht="15" customHeight="1" x14ac:dyDescent="0.25">
      <c r="A15" s="67" t="s">
        <v>20</v>
      </c>
      <c r="B15" s="67"/>
      <c r="C15" s="67"/>
      <c r="D15" s="67"/>
      <c r="E15" s="67"/>
      <c r="F15" s="67"/>
      <c r="G15" s="67"/>
    </row>
    <row r="16" spans="1:7" ht="15.75" thickBot="1" x14ac:dyDescent="0.3">
      <c r="A16" s="68"/>
      <c r="B16" s="68"/>
      <c r="C16" s="68"/>
      <c r="D16" s="68"/>
      <c r="E16" s="68"/>
      <c r="F16" s="68"/>
      <c r="G16" s="68"/>
    </row>
    <row r="17" spans="1:8" x14ac:dyDescent="0.25">
      <c r="A17" s="70" t="s">
        <v>21</v>
      </c>
      <c r="B17" s="71"/>
      <c r="C17" s="71" t="s">
        <v>22</v>
      </c>
      <c r="D17" s="71" t="s">
        <v>23</v>
      </c>
      <c r="E17" s="71" t="s">
        <v>24</v>
      </c>
      <c r="F17" s="17" t="s">
        <v>25</v>
      </c>
      <c r="G17" s="17" t="s">
        <v>27</v>
      </c>
      <c r="H17" s="18" t="s">
        <v>56</v>
      </c>
    </row>
    <row r="18" spans="1:8" ht="15.75" thickBot="1" x14ac:dyDescent="0.3">
      <c r="A18" s="72"/>
      <c r="B18" s="73"/>
      <c r="C18" s="73"/>
      <c r="D18" s="73"/>
      <c r="E18" s="73"/>
      <c r="F18" s="19" t="s">
        <v>26</v>
      </c>
      <c r="G18" s="19" t="s">
        <v>28</v>
      </c>
      <c r="H18" s="20" t="s">
        <v>57</v>
      </c>
    </row>
    <row r="19" spans="1:8" ht="50.1" customHeight="1" thickBot="1" x14ac:dyDescent="0.3">
      <c r="A19" s="80" t="s">
        <v>29</v>
      </c>
      <c r="B19" s="80"/>
      <c r="C19" s="45" t="s">
        <v>69</v>
      </c>
      <c r="D19" s="45" t="s">
        <v>55</v>
      </c>
      <c r="E19" s="61" t="s">
        <v>70</v>
      </c>
      <c r="F19" s="62">
        <v>0</v>
      </c>
      <c r="G19" s="63">
        <v>129944</v>
      </c>
      <c r="H19" s="65">
        <v>1281</v>
      </c>
    </row>
    <row r="20" spans="1:8" ht="50.1" customHeight="1" thickBot="1" x14ac:dyDescent="0.3">
      <c r="A20" s="81" t="s">
        <v>29</v>
      </c>
      <c r="B20" s="81"/>
      <c r="C20" s="45" t="s">
        <v>69</v>
      </c>
      <c r="D20" s="44" t="s">
        <v>55</v>
      </c>
      <c r="E20" s="61" t="s">
        <v>70</v>
      </c>
      <c r="F20" s="64">
        <v>0</v>
      </c>
      <c r="G20" s="63">
        <v>4084151</v>
      </c>
      <c r="H20" s="66">
        <v>1282</v>
      </c>
    </row>
    <row r="21" spans="1:8" ht="21" customHeight="1" x14ac:dyDescent="0.25">
      <c r="A21" s="47"/>
      <c r="B21" s="47"/>
      <c r="C21" s="47"/>
      <c r="D21" s="47"/>
      <c r="E21" s="47"/>
      <c r="F21" s="48"/>
      <c r="G21" s="46">
        <f>G19+G20</f>
        <v>4214095</v>
      </c>
      <c r="H21" s="49"/>
    </row>
    <row r="22" spans="1:8" x14ac:dyDescent="0.25">
      <c r="A22" s="78"/>
      <c r="B22" s="78"/>
      <c r="C22" s="78"/>
      <c r="D22" s="78"/>
      <c r="E22" s="78"/>
      <c r="F22" s="78"/>
      <c r="G22" s="78"/>
    </row>
    <row r="23" spans="1:8" x14ac:dyDescent="0.25">
      <c r="A23" s="6"/>
      <c r="B23" s="6"/>
      <c r="C23" s="6"/>
      <c r="D23" s="6"/>
      <c r="E23" s="6"/>
      <c r="F23" s="6"/>
      <c r="G23" s="6"/>
    </row>
    <row r="24" spans="1:8" x14ac:dyDescent="0.25">
      <c r="A24" s="6"/>
      <c r="B24" s="6"/>
      <c r="C24" s="6"/>
      <c r="D24" s="6"/>
      <c r="E24" s="6"/>
      <c r="F24" s="6"/>
      <c r="G24" s="6"/>
    </row>
    <row r="25" spans="1:8" x14ac:dyDescent="0.25">
      <c r="A25" s="6"/>
      <c r="B25" s="6"/>
      <c r="C25" s="6"/>
      <c r="D25" s="6"/>
      <c r="E25" s="6"/>
      <c r="F25" s="6"/>
      <c r="G25" s="6"/>
    </row>
    <row r="26" spans="1:8" x14ac:dyDescent="0.25">
      <c r="A26" s="6"/>
      <c r="B26" s="6"/>
      <c r="C26" s="6"/>
      <c r="D26" s="6"/>
      <c r="E26" s="6"/>
      <c r="F26" s="6"/>
      <c r="G26" s="6"/>
    </row>
    <row r="27" spans="1:8" x14ac:dyDescent="0.25">
      <c r="A27" s="6"/>
      <c r="B27" s="6"/>
      <c r="C27" s="6"/>
      <c r="D27" s="6"/>
      <c r="E27" s="6"/>
      <c r="F27" s="6"/>
      <c r="G27" s="6"/>
    </row>
    <row r="28" spans="1:8" x14ac:dyDescent="0.25">
      <c r="A28" s="68"/>
      <c r="B28" s="68"/>
      <c r="C28" s="68"/>
      <c r="D28" s="68"/>
      <c r="E28" s="68"/>
      <c r="F28" s="68"/>
      <c r="G28" s="68"/>
    </row>
    <row r="29" spans="1:8" ht="15" customHeight="1" x14ac:dyDescent="0.25">
      <c r="A29" s="67" t="s">
        <v>47</v>
      </c>
      <c r="B29" s="67"/>
      <c r="C29" s="67"/>
      <c r="D29" s="67"/>
      <c r="E29" s="67"/>
      <c r="F29" s="67"/>
      <c r="G29" s="67"/>
    </row>
    <row r="30" spans="1:8" x14ac:dyDescent="0.25">
      <c r="A30" s="68"/>
      <c r="B30" s="68"/>
      <c r="C30" s="68"/>
      <c r="D30" s="68"/>
      <c r="E30" s="68"/>
      <c r="F30" s="68"/>
      <c r="G30" s="68"/>
    </row>
    <row r="31" spans="1:8" x14ac:dyDescent="0.25">
      <c r="A31" s="15" t="s">
        <v>48</v>
      </c>
      <c r="B31" s="9">
        <v>2553286936</v>
      </c>
      <c r="C31" s="10"/>
    </row>
    <row r="32" spans="1:8" x14ac:dyDescent="0.25">
      <c r="A32" s="15" t="s">
        <v>49</v>
      </c>
      <c r="B32" s="11">
        <v>0</v>
      </c>
      <c r="C32" s="10"/>
    </row>
    <row r="33" spans="1:3" x14ac:dyDescent="0.25">
      <c r="A33" s="15" t="s">
        <v>50</v>
      </c>
      <c r="B33" s="11">
        <v>0</v>
      </c>
      <c r="C33" s="10"/>
    </row>
    <row r="34" spans="1:3" x14ac:dyDescent="0.25">
      <c r="A34" s="15" t="s">
        <v>51</v>
      </c>
      <c r="B34" s="11">
        <v>0</v>
      </c>
      <c r="C34" s="12">
        <f>B34+B35</f>
        <v>4214095</v>
      </c>
    </row>
    <row r="35" spans="1:3" x14ac:dyDescent="0.25">
      <c r="A35" s="15" t="s">
        <v>52</v>
      </c>
      <c r="B35" s="9">
        <v>4214095</v>
      </c>
      <c r="C35" s="10"/>
    </row>
    <row r="36" spans="1:3" x14ac:dyDescent="0.25">
      <c r="A36" s="15" t="s">
        <v>53</v>
      </c>
      <c r="B36" s="13">
        <v>2557501031</v>
      </c>
      <c r="C36" s="10"/>
    </row>
    <row r="37" spans="1:3" x14ac:dyDescent="0.25">
      <c r="A37" s="7"/>
    </row>
    <row r="38" spans="1:3" x14ac:dyDescent="0.25">
      <c r="A38" s="7"/>
    </row>
    <row r="39" spans="1:3" x14ac:dyDescent="0.25">
      <c r="A39" s="7"/>
    </row>
  </sheetData>
  <mergeCells count="16">
    <mergeCell ref="A22:G22"/>
    <mergeCell ref="A28:G28"/>
    <mergeCell ref="A29:G29"/>
    <mergeCell ref="A30:G30"/>
    <mergeCell ref="A17:B18"/>
    <mergeCell ref="C17:C18"/>
    <mergeCell ref="D17:D18"/>
    <mergeCell ref="E17:E18"/>
    <mergeCell ref="A19:B19"/>
    <mergeCell ref="A20:B20"/>
    <mergeCell ref="A16:G16"/>
    <mergeCell ref="A1:E1"/>
    <mergeCell ref="A2:F2"/>
    <mergeCell ref="A3:E3"/>
    <mergeCell ref="A4:E4"/>
    <mergeCell ref="A15:G15"/>
  </mergeCells>
  <pageMargins left="0.7" right="0.7" top="0.75" bottom="0.75" header="0.3" footer="0.3"/>
  <pageSetup scale="66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9210059</vt:lpstr>
      <vt:lpstr>9210920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2020-03-31T16:26:58Z</cp:lastPrinted>
  <dcterms:created xsi:type="dcterms:W3CDTF">2020-03-27T17:56:34Z</dcterms:created>
  <dcterms:modified xsi:type="dcterms:W3CDTF">2020-04-02T15:08:13Z</dcterms:modified>
</cp:coreProperties>
</file>