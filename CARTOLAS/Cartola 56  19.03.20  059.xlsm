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6542F95E-25E4-4BBF-B8AB-C5A6532B512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1" i="2" l="1"/>
  <c r="G77" i="2" l="1"/>
  <c r="G72" i="2"/>
  <c r="G52" i="2"/>
  <c r="G39" i="2"/>
  <c r="C89" i="2" l="1"/>
  <c r="C34" i="3"/>
</calcChain>
</file>

<file path=xl/sharedStrings.xml><?xml version="1.0" encoding="utf-8"?>
<sst xmlns="http://schemas.openxmlformats.org/spreadsheetml/2006/main" count="325" uniqueCount="101">
  <si>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</si>
  <si>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</si>
  <si>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</si>
  <si>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</si>
  <si>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</si>
  <si>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</si>
  <si>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</si>
  <si>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</si>
  <si>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</si>
  <si>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</si>
  <si>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</si>
  <si>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</si>
  <si>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</si>
  <si>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</si>
  <si>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</si>
  <si>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</si>
  <si>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</si>
  <si>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</si>
  <si>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</si>
  <si>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</si>
  <si>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</si>
  <si>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</si>
  <si>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</si>
  <si>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</si>
  <si>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</si>
  <si>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</si>
  <si>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</si>
  <si>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</si>
  <si>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</si>
  <si>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19-03-2020  </t>
  </si>
  <si>
    <t>STGO.PRINCIPAL </t>
  </si>
  <si>
    <t>7051293 </t>
  </si>
  <si>
    <t>TRANSFERENCIA INTERNET A BANCO ESTADO S/TC CLIENTE</t>
  </si>
  <si>
    <t>PUCHUNCAVI </t>
  </si>
  <si>
    <t>0001782 </t>
  </si>
  <si>
    <t>PAGO DE CHEQUE CON DEPOSITO CUENTA CORRIENTE</t>
  </si>
  <si>
    <t>1800257 </t>
  </si>
  <si>
    <t>ABONO</t>
  </si>
  <si>
    <t>0207113 </t>
  </si>
  <si>
    <t>0204196 </t>
  </si>
  <si>
    <t>0001077 </t>
  </si>
  <si>
    <t>TRANSFERENCIA OTRO BANCO DE ILUSTRE MUNICIPALIDAD DE ARICA</t>
  </si>
  <si>
    <t>SERVI ANGELES C </t>
  </si>
  <si>
    <t>2502450 </t>
  </si>
  <si>
    <t>0208092 </t>
  </si>
  <si>
    <t>2502530 </t>
  </si>
  <si>
    <t>2502490 </t>
  </si>
  <si>
    <t>2502210 </t>
  </si>
  <si>
    <t>2502390 </t>
  </si>
  <si>
    <t>TOME </t>
  </si>
  <si>
    <t>5015330 </t>
  </si>
  <si>
    <t>0205746 </t>
  </si>
  <si>
    <t>0204491 </t>
  </si>
  <si>
    <t>1800255 </t>
  </si>
  <si>
    <t>2502310 </t>
  </si>
  <si>
    <t>2502350 </t>
  </si>
  <si>
    <t>2502510 </t>
  </si>
  <si>
    <t>2502230 </t>
  </si>
  <si>
    <t>2502290 </t>
  </si>
  <si>
    <t>2502270 </t>
  </si>
  <si>
    <t>2502410 </t>
  </si>
  <si>
    <t>2502250 </t>
  </si>
  <si>
    <t>2502212 </t>
  </si>
  <si>
    <t>2502470 </t>
  </si>
  <si>
    <t>2502550 </t>
  </si>
  <si>
    <t>2502370 </t>
  </si>
  <si>
    <t>2502430 </t>
  </si>
  <si>
    <t>2502330 </t>
  </si>
  <si>
    <t>20-03-2020  </t>
  </si>
  <si>
    <t>7097273 </t>
  </si>
  <si>
    <t>7094687 </t>
  </si>
  <si>
    <t>7039703 </t>
  </si>
  <si>
    <t>TRANSFERENCIA BANCOESTADO DE CORP MUNIC GABRIEL GONZALEZ VIDELA</t>
  </si>
  <si>
    <t>TRANSFERENCIA OTRO BANCO DE CORP COMUNAL DE DESARROLLO QTA NORMAL S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</si>
  <si>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</si>
  <si>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</si>
  <si>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</si>
  <si>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</si>
  <si>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</si>
  <si>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</si>
  <si>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</si>
  <si>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CENTRAL DE ABASTECIMIENTOS SNS EQUIP Y</t>
  </si>
  <si>
    <t>PUERTO MONTT </t>
  </si>
  <si>
    <t>PAGODE CHEQUE CON DEPOSITO CUENTA CORRIENTE</t>
  </si>
  <si>
    <t>Numero</t>
  </si>
  <si>
    <t>ingreso</t>
  </si>
  <si>
    <t>12  Comprobante</t>
  </si>
  <si>
    <t>Numeros</t>
  </si>
  <si>
    <t>Ingresos</t>
  </si>
  <si>
    <t>12  Comprobantes</t>
  </si>
  <si>
    <t>ABONO PAGO A PROVEEDORES MUNICIPALIDAD DE FUTRONO</t>
  </si>
  <si>
    <t>TOTAL</t>
  </si>
  <si>
    <t>ABONO PAGO A PROVEEDORES SERVICIO DE SALUD DE AYSEN</t>
  </si>
  <si>
    <t>ABONO PAGO A PROVEEDORES SERVICIO DE SALUD DE ARICA</t>
  </si>
  <si>
    <t>ABONO PAGO A PROVEEDORES MUNICIPALIDAD DE HUARA</t>
  </si>
  <si>
    <t>ABONO PAGO A PROVEEDORES MUNICIPALIDAD DE CATEMU</t>
  </si>
  <si>
    <t>69.041.200-4 STGO.PRINCIPAL </t>
  </si>
  <si>
    <t>BANCO DE CREDITO E INVERSIONES MUNICIPALIDAD DE ILLAPEL</t>
  </si>
  <si>
    <t>DEPOSITO CON DOCUMENTOS MUNICIPALIDAD DE LOS ANGELES</t>
  </si>
  <si>
    <t>DEPOSITO CON DOCUMENTOS MUNICIPALIDAD DE TOME</t>
  </si>
  <si>
    <t>pendiente por identificar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</si>
</sst>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3" fontId="21" fillId="0" borderId="0" xfId="0" applyNumberFormat="1" applyFont="1" applyAlignment="1">
      <alignment horizontal="right" wrapText="1"/>
    </xf>
    <xf numFmtId="0" fontId="0" fillId="0" borderId="0" xfId="0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0" fontId="21" fillId="0" borderId="10" xfId="0" applyFont="1" applyBorder="1" applyAlignment="1">
      <alignment horizontal="right" wrapText="1"/>
    </xf>
    <xf numFmtId="3" fontId="21" fillId="0" borderId="10" xfId="0" applyNumberFormat="1" applyFont="1" applyBorder="1" applyAlignment="1">
      <alignment horizontal="right" wrapText="1"/>
    </xf>
    <xf numFmtId="0" fontId="0" fillId="0" borderId="10" xfId="0" applyBorder="1"/>
    <xf numFmtId="0" fontId="16" fillId="0" borderId="11" xfId="0" applyFont="1" applyBorder="1" applyAlignment="1">
      <alignment vertical="center" wrapText="1"/>
    </xf>
    <xf numFmtId="0" fontId="22" fillId="0" borderId="11" xfId="0" applyFont="1" applyBorder="1" applyAlignment="1">
      <alignment horizontal="right" vertical="center" wrapText="1"/>
    </xf>
    <xf numFmtId="3" fontId="22" fillId="0" borderId="11" xfId="0" applyNumberFormat="1" applyFont="1" applyBorder="1" applyAlignment="1">
      <alignment horizontal="right" vertical="center" wrapText="1"/>
    </xf>
    <xf numFmtId="0" fontId="16" fillId="0" borderId="13" xfId="0" applyFont="1" applyBorder="1" applyAlignment="1">
      <alignment horizontal="right" vertical="top" wrapText="1"/>
    </xf>
    <xf numFmtId="0" fontId="16" fillId="0" borderId="14" xfId="0" applyFont="1" applyBorder="1"/>
    <xf numFmtId="0" fontId="16" fillId="0" borderId="16" xfId="0" applyFont="1" applyBorder="1" applyAlignment="1">
      <alignment horizontal="right" vertical="top" wrapText="1"/>
    </xf>
    <xf numFmtId="0" fontId="16" fillId="0" borderId="17" xfId="0" applyFont="1" applyBorder="1"/>
    <xf numFmtId="3" fontId="0" fillId="0" borderId="10" xfId="0" applyNumberFormat="1" applyBorder="1" applyAlignment="1">
      <alignment horizontal="right" wrapText="1"/>
    </xf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0" fontId="23" fillId="0" borderId="0" xfId="0" applyFont="1"/>
    <xf numFmtId="3" fontId="21" fillId="0" borderId="11" xfId="0" applyNumberFormat="1" applyFont="1" applyBorder="1" applyAlignment="1">
      <alignment horizontal="right" wrapText="1"/>
    </xf>
    <xf numFmtId="0" fontId="0" fillId="0" borderId="11" xfId="0" applyBorder="1" applyAlignment="1">
      <alignment wrapText="1"/>
    </xf>
    <xf numFmtId="0" fontId="21" fillId="0" borderId="11" xfId="0" applyFont="1" applyBorder="1" applyAlignment="1">
      <alignment horizontal="right" wrapText="1"/>
    </xf>
    <xf numFmtId="0" fontId="16" fillId="0" borderId="11" xfId="0" applyFont="1" applyBorder="1" applyAlignment="1">
      <alignment wrapText="1"/>
    </xf>
    <xf numFmtId="0" fontId="21" fillId="0" borderId="19" xfId="0" applyFont="1" applyBorder="1" applyAlignment="1">
      <alignment horizontal="right" wrapText="1"/>
    </xf>
    <xf numFmtId="3" fontId="22" fillId="0" borderId="18" xfId="0" applyNumberFormat="1" applyFont="1" applyBorder="1" applyAlignment="1">
      <alignment horizontal="right" wrapText="1"/>
    </xf>
    <xf numFmtId="0" fontId="16" fillId="0" borderId="10" xfId="0" applyFont="1" applyBorder="1" applyAlignment="1">
      <alignment wrapText="1"/>
    </xf>
    <xf numFmtId="0" fontId="0" fillId="0" borderId="22" xfId="0" applyBorder="1"/>
    <xf numFmtId="0" fontId="0" fillId="0" borderId="23" xfId="0" applyBorder="1" applyAlignment="1">
      <alignment wrapText="1"/>
    </xf>
    <xf numFmtId="0" fontId="16" fillId="0" borderId="23" xfId="0" applyFont="1" applyBorder="1" applyAlignment="1">
      <alignment wrapText="1"/>
    </xf>
    <xf numFmtId="0" fontId="21" fillId="0" borderId="24" xfId="0" applyFont="1" applyBorder="1" applyAlignment="1">
      <alignment horizontal="right" wrapText="1"/>
    </xf>
    <xf numFmtId="3" fontId="22" fillId="0" borderId="25" xfId="0" applyNumberFormat="1" applyFont="1" applyBorder="1" applyAlignment="1">
      <alignment horizontal="right" wrapText="1"/>
    </xf>
    <xf numFmtId="0" fontId="16" fillId="0" borderId="0" xfId="0" applyFont="1" applyBorder="1" applyAlignment="1">
      <alignment wrapText="1"/>
    </xf>
    <xf numFmtId="0" fontId="22" fillId="0" borderId="0" xfId="0" applyFont="1" applyBorder="1" applyAlignment="1">
      <alignment horizontal="right" wrapText="1"/>
    </xf>
    <xf numFmtId="0" fontId="16" fillId="0" borderId="26" xfId="0" applyFont="1" applyBorder="1" applyAlignment="1">
      <alignment wrapText="1"/>
    </xf>
    <xf numFmtId="0" fontId="21" fillId="0" borderId="21" xfId="0" applyFont="1" applyBorder="1" applyAlignment="1">
      <alignment horizontal="right" wrapText="1"/>
    </xf>
    <xf numFmtId="3" fontId="21" fillId="0" borderId="27" xfId="0" applyNumberFormat="1" applyFont="1" applyBorder="1" applyAlignment="1">
      <alignment horizontal="right" wrapText="1"/>
    </xf>
    <xf numFmtId="0" fontId="0" fillId="0" borderId="19" xfId="0" applyBorder="1" applyAlignment="1">
      <alignment wrapText="1"/>
    </xf>
    <xf numFmtId="0" fontId="0" fillId="0" borderId="21" xfId="0" applyBorder="1" applyAlignment="1">
      <alignment wrapText="1"/>
    </xf>
    <xf numFmtId="0" fontId="16" fillId="0" borderId="13" xfId="0" applyFont="1" applyBorder="1" applyAlignment="1">
      <alignment wrapText="1"/>
    </xf>
    <xf numFmtId="0" fontId="22" fillId="0" borderId="13" xfId="0" applyFont="1" applyBorder="1" applyAlignment="1">
      <alignment horizontal="right" wrapText="1"/>
    </xf>
    <xf numFmtId="3" fontId="22" fillId="0" borderId="14" xfId="0" applyNumberFormat="1" applyFont="1" applyBorder="1" applyAlignment="1">
      <alignment horizontal="right" wrapText="1"/>
    </xf>
    <xf numFmtId="3" fontId="22" fillId="0" borderId="28" xfId="0" applyNumberFormat="1" applyFont="1" applyBorder="1" applyAlignment="1">
      <alignment horizontal="right" wrapText="1"/>
    </xf>
    <xf numFmtId="0" fontId="16" fillId="0" borderId="16" xfId="0" applyFont="1" applyBorder="1" applyAlignment="1">
      <alignment wrapText="1"/>
    </xf>
    <xf numFmtId="0" fontId="16" fillId="0" borderId="12" xfId="0" applyFont="1" applyBorder="1" applyAlignment="1">
      <alignment wrapText="1"/>
    </xf>
    <xf numFmtId="0" fontId="16" fillId="0" borderId="29" xfId="0" applyFont="1" applyBorder="1" applyAlignment="1">
      <alignment wrapText="1"/>
    </xf>
    <xf numFmtId="3" fontId="22" fillId="0" borderId="30" xfId="0" applyNumberFormat="1" applyFont="1" applyBorder="1" applyAlignment="1">
      <alignment horizontal="right" wrapText="1"/>
    </xf>
    <xf numFmtId="0" fontId="16" fillId="0" borderId="15" xfId="0" applyFont="1" applyBorder="1" applyAlignment="1">
      <alignment wrapText="1"/>
    </xf>
    <xf numFmtId="0" fontId="22" fillId="0" borderId="16" xfId="0" applyFont="1" applyBorder="1" applyAlignment="1">
      <alignment horizontal="right" wrapText="1"/>
    </xf>
    <xf numFmtId="3" fontId="22" fillId="0" borderId="17" xfId="0" applyNumberFormat="1" applyFont="1" applyBorder="1" applyAlignment="1">
      <alignment horizontal="right" wrapText="1"/>
    </xf>
    <xf numFmtId="0" fontId="0" fillId="0" borderId="27" xfId="0" applyBorder="1" applyAlignment="1">
      <alignment wrapText="1"/>
    </xf>
    <xf numFmtId="0" fontId="16" fillId="0" borderId="27" xfId="0" applyFont="1" applyBorder="1" applyAlignment="1">
      <alignment wrapText="1"/>
    </xf>
    <xf numFmtId="0" fontId="21" fillId="0" borderId="31" xfId="0" applyFont="1" applyBorder="1" applyAlignment="1">
      <alignment horizontal="right" wrapText="1"/>
    </xf>
    <xf numFmtId="3" fontId="22" fillId="0" borderId="32" xfId="0" applyNumberFormat="1" applyFont="1" applyBorder="1" applyAlignment="1">
      <alignment horizontal="right" wrapText="1"/>
    </xf>
    <xf numFmtId="0" fontId="21" fillId="0" borderId="23" xfId="0" applyFont="1" applyBorder="1" applyAlignment="1">
      <alignment horizontal="right" wrapText="1"/>
    </xf>
    <xf numFmtId="0" fontId="24" fillId="0" borderId="22" xfId="0" applyFont="1" applyBorder="1" applyAlignment="1">
      <alignment wrapText="1"/>
    </xf>
    <xf numFmtId="0" fontId="23" fillId="0" borderId="22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11" xfId="0" applyFont="1" applyBorder="1" applyAlignment="1">
      <alignment horizontal="center" vertical="center"/>
    </xf>
    <xf numFmtId="0" fontId="16" fillId="0" borderId="0" xfId="0" applyFont="1" applyAlignment="1">
      <alignment wrapText="1"/>
    </xf>
    <xf numFmtId="0" fontId="0" fillId="0" borderId="0" xfId="0" applyAlignment="1">
      <alignment wrapText="1"/>
    </xf>
    <xf numFmtId="0" fontId="20" fillId="0" borderId="0" xfId="0" applyFont="1" applyAlignment="1">
      <alignment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0" xfId="0" applyAlignment="1">
      <alignment horizontal="right" wrapText="1"/>
    </xf>
    <xf numFmtId="0" fontId="16" fillId="0" borderId="11" xfId="0" applyFont="1" applyBorder="1" applyAlignment="1">
      <alignment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94"/>
  <sheetViews>
    <sheetView showGridLines="0" tabSelected="1" topLeftCell="A67" workbookViewId="0">
      <selection activeCell="E74" sqref="E74"/>
    </sheetView>
  </sheetViews>
  <sheetFormatPr baseColWidth="10" defaultRowHeight="15" x14ac:dyDescent="0.25"/>
  <cols>
    <col min="1" max="1" width="17.85546875" bestFit="1" customWidth="1"/>
    <col min="2" max="2" width="13.7109375" customWidth="1"/>
    <col min="3" max="3" width="16.42578125" bestFit="1" customWidth="1"/>
    <col min="4" max="4" width="12.7109375" bestFit="1" customWidth="1"/>
    <col min="5" max="5" width="45.7109375" bestFit="1" customWidth="1"/>
    <col min="6" max="6" width="10.140625" bestFit="1" customWidth="1"/>
    <col min="7" max="7" width="10.7109375" bestFit="1" customWidth="1"/>
  </cols>
  <sheetData>
    <row r="1" spans="1:7" ht="18" customHeight="1" x14ac:dyDescent="0.25">
      <c r="A1" s="65" t="s">
        <v>0</v>
      </c>
      <c r="B1" s="65"/>
      <c r="C1" s="65"/>
      <c r="D1" s="65"/>
      <c r="E1" s="65"/>
    </row>
    <row r="2" spans="1:7" x14ac:dyDescent="0.25">
      <c r="A2" s="64"/>
      <c r="B2" s="64"/>
      <c r="C2" s="64"/>
      <c r="D2" s="64"/>
      <c r="E2" s="64"/>
      <c r="F2" s="64"/>
    </row>
    <row r="3" spans="1:7" ht="15" customHeight="1" x14ac:dyDescent="0.25">
      <c r="A3" s="63" t="s">
        <v>1</v>
      </c>
      <c r="B3" s="63"/>
      <c r="C3" s="63"/>
      <c r="D3" s="63"/>
      <c r="E3" s="63"/>
    </row>
    <row r="4" spans="1:7" x14ac:dyDescent="0.25">
      <c r="A4" s="64"/>
      <c r="B4" s="64"/>
      <c r="C4" s="64"/>
      <c r="D4" s="64"/>
      <c r="E4" s="64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43910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22" t="s">
        <v>89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56</v>
      </c>
      <c r="C12" s="1"/>
      <c r="D12" s="2" t="s">
        <v>16</v>
      </c>
      <c r="E12" s="4">
        <v>43909</v>
      </c>
    </row>
    <row r="13" spans="1:7" x14ac:dyDescent="0.25">
      <c r="A13" s="2" t="s">
        <v>17</v>
      </c>
      <c r="B13" s="3">
        <v>58</v>
      </c>
      <c r="C13" s="1"/>
      <c r="D13" s="2" t="s">
        <v>18</v>
      </c>
      <c r="E13" s="4">
        <v>43910</v>
      </c>
    </row>
    <row r="14" spans="1:7" x14ac:dyDescent="0.25">
      <c r="A14" s="2" t="s">
        <v>19</v>
      </c>
      <c r="B14" s="4">
        <v>43909</v>
      </c>
      <c r="C14" s="1"/>
      <c r="D14" s="1"/>
      <c r="E14" s="1"/>
    </row>
    <row r="15" spans="1:7" ht="15" customHeight="1" x14ac:dyDescent="0.25">
      <c r="A15" s="63" t="s">
        <v>20</v>
      </c>
      <c r="B15" s="63"/>
      <c r="C15" s="63"/>
      <c r="D15" s="63"/>
      <c r="E15" s="63"/>
      <c r="F15" s="63"/>
      <c r="G15" s="63"/>
    </row>
    <row r="16" spans="1:7" ht="15.75" thickBot="1" x14ac:dyDescent="0.3">
      <c r="A16" s="64"/>
      <c r="B16" s="64"/>
      <c r="C16" s="64"/>
      <c r="D16" s="64"/>
      <c r="E16" s="64"/>
      <c r="F16" s="64"/>
      <c r="G16" s="64"/>
    </row>
    <row r="17" spans="1:8" x14ac:dyDescent="0.25">
      <c r="A17" s="66" t="s">
        <v>21</v>
      </c>
      <c r="B17" s="67"/>
      <c r="C17" s="67" t="s">
        <v>22</v>
      </c>
      <c r="D17" s="67" t="s">
        <v>23</v>
      </c>
      <c r="E17" s="67" t="s">
        <v>24</v>
      </c>
      <c r="F17" s="15" t="s">
        <v>25</v>
      </c>
      <c r="G17" s="15" t="s">
        <v>27</v>
      </c>
      <c r="H17" s="16" t="s">
        <v>87</v>
      </c>
    </row>
    <row r="18" spans="1:8" ht="15.75" thickBot="1" x14ac:dyDescent="0.3">
      <c r="A18" s="68"/>
      <c r="B18" s="69"/>
      <c r="C18" s="69"/>
      <c r="D18" s="69"/>
      <c r="E18" s="69"/>
      <c r="F18" s="17" t="s">
        <v>26</v>
      </c>
      <c r="G18" s="17" t="s">
        <v>28</v>
      </c>
      <c r="H18" s="18" t="s">
        <v>88</v>
      </c>
    </row>
    <row r="19" spans="1:8" ht="32.25" thickBot="1" x14ac:dyDescent="0.4">
      <c r="A19" s="71" t="s">
        <v>29</v>
      </c>
      <c r="B19" s="71"/>
      <c r="C19" s="31" t="s">
        <v>30</v>
      </c>
      <c r="D19" s="31" t="s">
        <v>40</v>
      </c>
      <c r="E19" s="32" t="s">
        <v>41</v>
      </c>
      <c r="F19" s="33">
        <v>0</v>
      </c>
      <c r="G19" s="34">
        <v>24829</v>
      </c>
      <c r="H19" s="61">
        <v>1222</v>
      </c>
    </row>
    <row r="20" spans="1:8" ht="32.25" thickBot="1" x14ac:dyDescent="0.4">
      <c r="A20" s="70" t="s">
        <v>29</v>
      </c>
      <c r="B20" s="72"/>
      <c r="C20" s="37" t="s">
        <v>33</v>
      </c>
      <c r="D20" s="42" t="s">
        <v>34</v>
      </c>
      <c r="E20" s="42" t="s">
        <v>35</v>
      </c>
      <c r="F20" s="43">
        <v>0</v>
      </c>
      <c r="G20" s="44">
        <v>5010</v>
      </c>
      <c r="H20" s="59">
        <v>1223</v>
      </c>
    </row>
    <row r="21" spans="1:8" ht="30" customHeight="1" x14ac:dyDescent="0.25">
      <c r="A21" s="70" t="s">
        <v>29</v>
      </c>
      <c r="B21" s="70"/>
      <c r="C21" s="40" t="s">
        <v>30</v>
      </c>
      <c r="D21" s="47" t="s">
        <v>39</v>
      </c>
      <c r="E21" s="42" t="s">
        <v>90</v>
      </c>
      <c r="F21" s="43">
        <v>0</v>
      </c>
      <c r="G21" s="44">
        <v>14063</v>
      </c>
      <c r="H21" s="30"/>
    </row>
    <row r="22" spans="1:8" ht="30" customHeight="1" x14ac:dyDescent="0.25">
      <c r="A22" s="70" t="s">
        <v>29</v>
      </c>
      <c r="B22" s="70"/>
      <c r="C22" s="41" t="s">
        <v>30</v>
      </c>
      <c r="D22" s="48" t="s">
        <v>39</v>
      </c>
      <c r="E22" s="35" t="s">
        <v>90</v>
      </c>
      <c r="F22" s="36">
        <v>0</v>
      </c>
      <c r="G22" s="49">
        <v>20784</v>
      </c>
      <c r="H22" s="30"/>
    </row>
    <row r="23" spans="1:8" ht="30" customHeight="1" x14ac:dyDescent="0.25">
      <c r="A23" s="70" t="s">
        <v>29</v>
      </c>
      <c r="B23" s="70"/>
      <c r="C23" s="41" t="s">
        <v>30</v>
      </c>
      <c r="D23" s="48" t="s">
        <v>39</v>
      </c>
      <c r="E23" s="35" t="s">
        <v>90</v>
      </c>
      <c r="F23" s="36">
        <v>0</v>
      </c>
      <c r="G23" s="49">
        <v>22528</v>
      </c>
      <c r="H23" s="30"/>
    </row>
    <row r="24" spans="1:8" ht="30" customHeight="1" x14ac:dyDescent="0.25">
      <c r="A24" s="70" t="s">
        <v>29</v>
      </c>
      <c r="B24" s="70"/>
      <c r="C24" s="41" t="s">
        <v>30</v>
      </c>
      <c r="D24" s="48" t="s">
        <v>39</v>
      </c>
      <c r="E24" s="35" t="s">
        <v>90</v>
      </c>
      <c r="F24" s="36">
        <v>0</v>
      </c>
      <c r="G24" s="49">
        <v>25171</v>
      </c>
      <c r="H24" s="30"/>
    </row>
    <row r="25" spans="1:8" ht="30" customHeight="1" x14ac:dyDescent="0.25">
      <c r="A25" s="70" t="s">
        <v>29</v>
      </c>
      <c r="B25" s="70"/>
      <c r="C25" s="41" t="s">
        <v>30</v>
      </c>
      <c r="D25" s="48" t="s">
        <v>39</v>
      </c>
      <c r="E25" s="35" t="s">
        <v>90</v>
      </c>
      <c r="F25" s="36">
        <v>0</v>
      </c>
      <c r="G25" s="49">
        <v>26239</v>
      </c>
      <c r="H25" s="30"/>
    </row>
    <row r="26" spans="1:8" ht="30" customHeight="1" x14ac:dyDescent="0.25">
      <c r="A26" s="70" t="s">
        <v>29</v>
      </c>
      <c r="B26" s="70"/>
      <c r="C26" s="41" t="s">
        <v>30</v>
      </c>
      <c r="D26" s="48" t="s">
        <v>39</v>
      </c>
      <c r="E26" s="35" t="s">
        <v>90</v>
      </c>
      <c r="F26" s="36">
        <v>0</v>
      </c>
      <c r="G26" s="49">
        <v>30508</v>
      </c>
      <c r="H26" s="30"/>
    </row>
    <row r="27" spans="1:8" ht="30" customHeight="1" x14ac:dyDescent="0.25">
      <c r="A27" s="70" t="s">
        <v>29</v>
      </c>
      <c r="B27" s="70"/>
      <c r="C27" s="41" t="s">
        <v>30</v>
      </c>
      <c r="D27" s="48" t="s">
        <v>39</v>
      </c>
      <c r="E27" s="35" t="s">
        <v>90</v>
      </c>
      <c r="F27" s="36">
        <v>0</v>
      </c>
      <c r="G27" s="49">
        <v>32691</v>
      </c>
      <c r="H27" s="30"/>
    </row>
    <row r="28" spans="1:8" ht="30" customHeight="1" x14ac:dyDescent="0.25">
      <c r="A28" s="70" t="s">
        <v>29</v>
      </c>
      <c r="B28" s="70"/>
      <c r="C28" s="41" t="s">
        <v>30</v>
      </c>
      <c r="D28" s="48" t="s">
        <v>39</v>
      </c>
      <c r="E28" s="35" t="s">
        <v>90</v>
      </c>
      <c r="F28" s="36">
        <v>0</v>
      </c>
      <c r="G28" s="49">
        <v>36290</v>
      </c>
      <c r="H28" s="30"/>
    </row>
    <row r="29" spans="1:8" ht="30" customHeight="1" x14ac:dyDescent="0.25">
      <c r="A29" s="70" t="s">
        <v>29</v>
      </c>
      <c r="B29" s="70"/>
      <c r="C29" s="41" t="s">
        <v>30</v>
      </c>
      <c r="D29" s="48" t="s">
        <v>39</v>
      </c>
      <c r="E29" s="35" t="s">
        <v>90</v>
      </c>
      <c r="F29" s="36">
        <v>0</v>
      </c>
      <c r="G29" s="49">
        <v>39093</v>
      </c>
      <c r="H29" s="30"/>
    </row>
    <row r="30" spans="1:8" ht="30" customHeight="1" x14ac:dyDescent="0.25">
      <c r="A30" s="70" t="s">
        <v>29</v>
      </c>
      <c r="B30" s="70"/>
      <c r="C30" s="41" t="s">
        <v>30</v>
      </c>
      <c r="D30" s="48" t="s">
        <v>39</v>
      </c>
      <c r="E30" s="35" t="s">
        <v>90</v>
      </c>
      <c r="F30" s="36">
        <v>0</v>
      </c>
      <c r="G30" s="49">
        <v>42752</v>
      </c>
      <c r="H30" s="30"/>
    </row>
    <row r="31" spans="1:8" ht="30" customHeight="1" x14ac:dyDescent="0.25">
      <c r="A31" s="70" t="s">
        <v>29</v>
      </c>
      <c r="B31" s="70"/>
      <c r="C31" s="41" t="s">
        <v>30</v>
      </c>
      <c r="D31" s="48" t="s">
        <v>39</v>
      </c>
      <c r="E31" s="35" t="s">
        <v>90</v>
      </c>
      <c r="F31" s="36">
        <v>0</v>
      </c>
      <c r="G31" s="49">
        <v>46917</v>
      </c>
      <c r="H31" s="30"/>
    </row>
    <row r="32" spans="1:8" ht="30" customHeight="1" x14ac:dyDescent="0.25">
      <c r="A32" s="70" t="s">
        <v>29</v>
      </c>
      <c r="B32" s="70"/>
      <c r="C32" s="41" t="s">
        <v>30</v>
      </c>
      <c r="D32" s="48" t="s">
        <v>39</v>
      </c>
      <c r="E32" s="35" t="s">
        <v>90</v>
      </c>
      <c r="F32" s="36">
        <v>0</v>
      </c>
      <c r="G32" s="49">
        <v>47645</v>
      </c>
      <c r="H32" s="30"/>
    </row>
    <row r="33" spans="1:8" ht="30" customHeight="1" x14ac:dyDescent="0.25">
      <c r="A33" s="70" t="s">
        <v>29</v>
      </c>
      <c r="B33" s="70"/>
      <c r="C33" s="41" t="s">
        <v>30</v>
      </c>
      <c r="D33" s="48" t="s">
        <v>39</v>
      </c>
      <c r="E33" s="35" t="s">
        <v>90</v>
      </c>
      <c r="F33" s="36">
        <v>0</v>
      </c>
      <c r="G33" s="49">
        <v>58055</v>
      </c>
      <c r="H33" s="30"/>
    </row>
    <row r="34" spans="1:8" ht="30" customHeight="1" x14ac:dyDescent="0.25">
      <c r="A34" s="70" t="s">
        <v>29</v>
      </c>
      <c r="B34" s="70"/>
      <c r="C34" s="41" t="s">
        <v>30</v>
      </c>
      <c r="D34" s="48" t="s">
        <v>39</v>
      </c>
      <c r="E34" s="35" t="s">
        <v>90</v>
      </c>
      <c r="F34" s="36">
        <v>0</v>
      </c>
      <c r="G34" s="49">
        <v>73985</v>
      </c>
      <c r="H34" s="30"/>
    </row>
    <row r="35" spans="1:8" ht="30" customHeight="1" x14ac:dyDescent="0.25">
      <c r="A35" s="70" t="s">
        <v>29</v>
      </c>
      <c r="B35" s="70"/>
      <c r="C35" s="41" t="s">
        <v>30</v>
      </c>
      <c r="D35" s="48" t="s">
        <v>39</v>
      </c>
      <c r="E35" s="35" t="s">
        <v>90</v>
      </c>
      <c r="F35" s="36">
        <v>0</v>
      </c>
      <c r="G35" s="49">
        <v>75130</v>
      </c>
      <c r="H35" s="30"/>
    </row>
    <row r="36" spans="1:8" ht="30" customHeight="1" x14ac:dyDescent="0.25">
      <c r="A36" s="70" t="s">
        <v>29</v>
      </c>
      <c r="B36" s="70"/>
      <c r="C36" s="41" t="s">
        <v>30</v>
      </c>
      <c r="D36" s="48" t="s">
        <v>39</v>
      </c>
      <c r="E36" s="35" t="s">
        <v>90</v>
      </c>
      <c r="F36" s="36">
        <v>0</v>
      </c>
      <c r="G36" s="49">
        <v>81111</v>
      </c>
      <c r="H36" s="30"/>
    </row>
    <row r="37" spans="1:8" ht="30" customHeight="1" x14ac:dyDescent="0.25">
      <c r="A37" s="70" t="s">
        <v>29</v>
      </c>
      <c r="B37" s="70"/>
      <c r="C37" s="41" t="s">
        <v>30</v>
      </c>
      <c r="D37" s="48" t="s">
        <v>39</v>
      </c>
      <c r="E37" s="35" t="s">
        <v>90</v>
      </c>
      <c r="F37" s="36">
        <v>0</v>
      </c>
      <c r="G37" s="49">
        <v>89231</v>
      </c>
      <c r="H37" s="30"/>
    </row>
    <row r="38" spans="1:8" ht="30" customHeight="1" thickBot="1" x14ac:dyDescent="0.3">
      <c r="A38" s="70" t="s">
        <v>29</v>
      </c>
      <c r="B38" s="70"/>
      <c r="C38" s="41" t="s">
        <v>30</v>
      </c>
      <c r="D38" s="50" t="s">
        <v>39</v>
      </c>
      <c r="E38" s="46" t="s">
        <v>90</v>
      </c>
      <c r="F38" s="51">
        <v>0</v>
      </c>
      <c r="G38" s="52">
        <v>99612</v>
      </c>
      <c r="H38" s="30"/>
    </row>
    <row r="39" spans="1:8" ht="21.75" thickBot="1" x14ac:dyDescent="0.4">
      <c r="A39" s="8"/>
      <c r="B39" s="8"/>
      <c r="C39" s="8"/>
      <c r="D39" s="24"/>
      <c r="E39" s="26"/>
      <c r="F39" s="27" t="s">
        <v>91</v>
      </c>
      <c r="G39" s="45">
        <f>SUM(G21:G38)</f>
        <v>861805</v>
      </c>
      <c r="H39" s="59">
        <v>1224</v>
      </c>
    </row>
    <row r="40" spans="1:8" ht="32.25" thickBot="1" x14ac:dyDescent="0.4">
      <c r="A40" s="70" t="s">
        <v>29</v>
      </c>
      <c r="B40" s="70"/>
      <c r="C40" s="8" t="s">
        <v>30</v>
      </c>
      <c r="D40" s="8" t="s">
        <v>52</v>
      </c>
      <c r="E40" s="29" t="s">
        <v>92</v>
      </c>
      <c r="F40" s="38">
        <v>0</v>
      </c>
      <c r="G40" s="28">
        <v>348449</v>
      </c>
      <c r="H40" s="59">
        <v>1225</v>
      </c>
    </row>
    <row r="41" spans="1:8" ht="32.25" thickBot="1" x14ac:dyDescent="0.4">
      <c r="A41" s="70" t="s">
        <v>29</v>
      </c>
      <c r="B41" s="70"/>
      <c r="C41" s="8" t="s">
        <v>30</v>
      </c>
      <c r="D41" s="8" t="s">
        <v>51</v>
      </c>
      <c r="E41" s="29" t="s">
        <v>93</v>
      </c>
      <c r="F41" s="38">
        <v>0</v>
      </c>
      <c r="G41" s="28">
        <v>148512</v>
      </c>
      <c r="H41" s="59">
        <v>1226</v>
      </c>
    </row>
    <row r="42" spans="1:8" ht="32.25" thickBot="1" x14ac:dyDescent="0.4">
      <c r="A42" s="70" t="s">
        <v>29</v>
      </c>
      <c r="B42" s="70"/>
      <c r="C42" s="8" t="s">
        <v>30</v>
      </c>
      <c r="D42" s="8" t="s">
        <v>38</v>
      </c>
      <c r="E42" s="29" t="s">
        <v>94</v>
      </c>
      <c r="F42" s="38">
        <v>0</v>
      </c>
      <c r="G42" s="28">
        <v>12805</v>
      </c>
      <c r="H42" s="59">
        <v>1227</v>
      </c>
    </row>
    <row r="43" spans="1:8" ht="32.25" thickBot="1" x14ac:dyDescent="0.4">
      <c r="A43" s="70" t="s">
        <v>29</v>
      </c>
      <c r="B43" s="70"/>
      <c r="C43" s="8" t="s">
        <v>30</v>
      </c>
      <c r="D43" s="8" t="s">
        <v>44</v>
      </c>
      <c r="E43" s="29" t="s">
        <v>95</v>
      </c>
      <c r="F43" s="38">
        <v>0</v>
      </c>
      <c r="G43" s="28">
        <v>6944165</v>
      </c>
      <c r="H43" s="59">
        <v>1228</v>
      </c>
    </row>
    <row r="44" spans="1:8" ht="32.25" thickBot="1" x14ac:dyDescent="0.4">
      <c r="A44" s="70" t="s">
        <v>29</v>
      </c>
      <c r="B44" s="70"/>
      <c r="C44" s="8" t="s">
        <v>96</v>
      </c>
      <c r="D44" s="53" t="s">
        <v>53</v>
      </c>
      <c r="E44" s="54" t="s">
        <v>97</v>
      </c>
      <c r="F44" s="55">
        <v>0</v>
      </c>
      <c r="G44" s="34">
        <v>365215</v>
      </c>
      <c r="H44" s="59">
        <v>1229</v>
      </c>
    </row>
    <row r="45" spans="1:8" ht="30" customHeight="1" x14ac:dyDescent="0.25">
      <c r="A45" s="70" t="s">
        <v>29</v>
      </c>
      <c r="B45" s="70"/>
      <c r="C45" s="41" t="s">
        <v>30</v>
      </c>
      <c r="D45" s="47" t="s">
        <v>36</v>
      </c>
      <c r="E45" s="42" t="s">
        <v>37</v>
      </c>
      <c r="F45" s="43">
        <v>0</v>
      </c>
      <c r="G45" s="44">
        <v>11842</v>
      </c>
      <c r="H45" s="58" t="s">
        <v>100</v>
      </c>
    </row>
    <row r="46" spans="1:8" ht="30" customHeight="1" x14ac:dyDescent="0.25">
      <c r="A46" s="70" t="s">
        <v>29</v>
      </c>
      <c r="B46" s="70"/>
      <c r="C46" s="41" t="s">
        <v>30</v>
      </c>
      <c r="D46" s="48" t="s">
        <v>36</v>
      </c>
      <c r="E46" s="35" t="s">
        <v>37</v>
      </c>
      <c r="F46" s="36">
        <v>0</v>
      </c>
      <c r="G46" s="49">
        <v>23683</v>
      </c>
      <c r="H46" s="58" t="s">
        <v>100</v>
      </c>
    </row>
    <row r="47" spans="1:8" ht="30" customHeight="1" x14ac:dyDescent="0.25">
      <c r="A47" s="70" t="s">
        <v>29</v>
      </c>
      <c r="B47" s="70"/>
      <c r="C47" s="41" t="s">
        <v>30</v>
      </c>
      <c r="D47" s="48" t="s">
        <v>36</v>
      </c>
      <c r="E47" s="35" t="s">
        <v>37</v>
      </c>
      <c r="F47" s="36">
        <v>0</v>
      </c>
      <c r="G47" s="49">
        <v>31973</v>
      </c>
      <c r="H47" s="58" t="s">
        <v>100</v>
      </c>
    </row>
    <row r="48" spans="1:8" ht="30" customHeight="1" x14ac:dyDescent="0.25">
      <c r="A48" s="70" t="s">
        <v>29</v>
      </c>
      <c r="B48" s="70"/>
      <c r="C48" s="41" t="s">
        <v>30</v>
      </c>
      <c r="D48" s="48" t="s">
        <v>36</v>
      </c>
      <c r="E48" s="35" t="s">
        <v>37</v>
      </c>
      <c r="F48" s="36">
        <v>0</v>
      </c>
      <c r="G48" s="49">
        <v>31973</v>
      </c>
      <c r="H48" s="58" t="s">
        <v>100</v>
      </c>
    </row>
    <row r="49" spans="1:8" ht="30" customHeight="1" x14ac:dyDescent="0.25">
      <c r="A49" s="70" t="s">
        <v>29</v>
      </c>
      <c r="B49" s="70"/>
      <c r="C49" s="41" t="s">
        <v>30</v>
      </c>
      <c r="D49" s="48" t="s">
        <v>36</v>
      </c>
      <c r="E49" s="35" t="s">
        <v>37</v>
      </c>
      <c r="F49" s="36">
        <v>0</v>
      </c>
      <c r="G49" s="49">
        <v>31973</v>
      </c>
      <c r="H49" s="58" t="s">
        <v>100</v>
      </c>
    </row>
    <row r="50" spans="1:8" ht="30" customHeight="1" x14ac:dyDescent="0.25">
      <c r="A50" s="70" t="s">
        <v>29</v>
      </c>
      <c r="B50" s="70"/>
      <c r="C50" s="41" t="s">
        <v>30</v>
      </c>
      <c r="D50" s="48" t="s">
        <v>36</v>
      </c>
      <c r="E50" s="35" t="s">
        <v>37</v>
      </c>
      <c r="F50" s="36">
        <v>0</v>
      </c>
      <c r="G50" s="49">
        <v>31973</v>
      </c>
      <c r="H50" s="58" t="s">
        <v>100</v>
      </c>
    </row>
    <row r="51" spans="1:8" ht="30" customHeight="1" thickBot="1" x14ac:dyDescent="0.3">
      <c r="A51" s="70" t="s">
        <v>29</v>
      </c>
      <c r="B51" s="70"/>
      <c r="C51" s="41" t="s">
        <v>30</v>
      </c>
      <c r="D51" s="50" t="s">
        <v>36</v>
      </c>
      <c r="E51" s="46" t="s">
        <v>37</v>
      </c>
      <c r="F51" s="51">
        <v>0</v>
      </c>
      <c r="G51" s="52">
        <v>35525</v>
      </c>
      <c r="H51" s="58" t="s">
        <v>100</v>
      </c>
    </row>
    <row r="52" spans="1:8" ht="19.5" customHeight="1" thickBot="1" x14ac:dyDescent="0.3">
      <c r="A52" s="8"/>
      <c r="B52" s="8"/>
      <c r="C52" s="53"/>
      <c r="D52" s="31"/>
      <c r="E52" s="31"/>
      <c r="F52" s="33" t="s">
        <v>91</v>
      </c>
      <c r="G52" s="56">
        <f>SUM(G45:G51)</f>
        <v>198942</v>
      </c>
      <c r="H52" s="30"/>
    </row>
    <row r="53" spans="1:8" ht="30" customHeight="1" x14ac:dyDescent="0.25">
      <c r="A53" s="70" t="s">
        <v>29</v>
      </c>
      <c r="B53" s="72"/>
      <c r="C53" s="47" t="s">
        <v>42</v>
      </c>
      <c r="D53" s="42" t="s">
        <v>47</v>
      </c>
      <c r="E53" s="42" t="s">
        <v>98</v>
      </c>
      <c r="F53" s="43">
        <v>0</v>
      </c>
      <c r="G53" s="44">
        <v>2712799</v>
      </c>
      <c r="H53" s="30"/>
    </row>
    <row r="54" spans="1:8" ht="30" customHeight="1" x14ac:dyDescent="0.25">
      <c r="A54" s="70" t="s">
        <v>29</v>
      </c>
      <c r="B54" s="72"/>
      <c r="C54" s="48" t="s">
        <v>42</v>
      </c>
      <c r="D54" s="35" t="s">
        <v>62</v>
      </c>
      <c r="E54" s="35" t="s">
        <v>98</v>
      </c>
      <c r="F54" s="36">
        <v>0</v>
      </c>
      <c r="G54" s="49">
        <v>1564697</v>
      </c>
      <c r="H54" s="30"/>
    </row>
    <row r="55" spans="1:8" ht="30" customHeight="1" x14ac:dyDescent="0.25">
      <c r="A55" s="70" t="s">
        <v>29</v>
      </c>
      <c r="B55" s="72"/>
      <c r="C55" s="48" t="s">
        <v>42</v>
      </c>
      <c r="D55" s="35" t="s">
        <v>57</v>
      </c>
      <c r="E55" s="35" t="s">
        <v>98</v>
      </c>
      <c r="F55" s="36">
        <v>0</v>
      </c>
      <c r="G55" s="49">
        <v>539277</v>
      </c>
      <c r="H55" s="30"/>
    </row>
    <row r="56" spans="1:8" ht="30" customHeight="1" x14ac:dyDescent="0.25">
      <c r="A56" s="70" t="s">
        <v>29</v>
      </c>
      <c r="B56" s="72"/>
      <c r="C56" s="48" t="s">
        <v>42</v>
      </c>
      <c r="D56" s="35" t="s">
        <v>61</v>
      </c>
      <c r="E56" s="35" t="s">
        <v>98</v>
      </c>
      <c r="F56" s="36">
        <v>0</v>
      </c>
      <c r="G56" s="49">
        <v>1361184</v>
      </c>
      <c r="H56" s="30"/>
    </row>
    <row r="57" spans="1:8" ht="30" customHeight="1" x14ac:dyDescent="0.25">
      <c r="A57" s="70" t="s">
        <v>29</v>
      </c>
      <c r="B57" s="72"/>
      <c r="C57" s="48" t="s">
        <v>42</v>
      </c>
      <c r="D57" s="35" t="s">
        <v>59</v>
      </c>
      <c r="E57" s="35" t="s">
        <v>98</v>
      </c>
      <c r="F57" s="36">
        <v>0</v>
      </c>
      <c r="G57" s="49">
        <v>918248</v>
      </c>
      <c r="H57" s="30"/>
    </row>
    <row r="58" spans="1:8" ht="30" customHeight="1" x14ac:dyDescent="0.25">
      <c r="A58" s="70" t="s">
        <v>29</v>
      </c>
      <c r="B58" s="72"/>
      <c r="C58" s="48" t="s">
        <v>42</v>
      </c>
      <c r="D58" s="35" t="s">
        <v>58</v>
      </c>
      <c r="E58" s="35" t="s">
        <v>98</v>
      </c>
      <c r="F58" s="36">
        <v>0</v>
      </c>
      <c r="G58" s="49">
        <v>736840</v>
      </c>
      <c r="H58" s="30"/>
    </row>
    <row r="59" spans="1:8" ht="30" customHeight="1" x14ac:dyDescent="0.25">
      <c r="A59" s="70" t="s">
        <v>29</v>
      </c>
      <c r="B59" s="72"/>
      <c r="C59" s="48" t="s">
        <v>42</v>
      </c>
      <c r="D59" s="35" t="s">
        <v>54</v>
      </c>
      <c r="E59" s="35" t="s">
        <v>98</v>
      </c>
      <c r="F59" s="36">
        <v>0</v>
      </c>
      <c r="G59" s="49">
        <v>370669</v>
      </c>
      <c r="H59" s="30"/>
    </row>
    <row r="60" spans="1:8" ht="30" customHeight="1" x14ac:dyDescent="0.25">
      <c r="A60" s="70" t="s">
        <v>29</v>
      </c>
      <c r="B60" s="72"/>
      <c r="C60" s="48" t="s">
        <v>42</v>
      </c>
      <c r="D60" s="35" t="s">
        <v>67</v>
      </c>
      <c r="E60" s="35" t="s">
        <v>98</v>
      </c>
      <c r="F60" s="36">
        <v>0</v>
      </c>
      <c r="G60" s="49">
        <v>2252216</v>
      </c>
      <c r="H60" s="30"/>
    </row>
    <row r="61" spans="1:8" ht="30" customHeight="1" x14ac:dyDescent="0.25">
      <c r="A61" s="70" t="s">
        <v>29</v>
      </c>
      <c r="B61" s="72"/>
      <c r="C61" s="48" t="s">
        <v>42</v>
      </c>
      <c r="D61" s="35" t="s">
        <v>55</v>
      </c>
      <c r="E61" s="35" t="s">
        <v>98</v>
      </c>
      <c r="F61" s="36">
        <v>0</v>
      </c>
      <c r="G61" s="49">
        <v>498232</v>
      </c>
      <c r="H61" s="30"/>
    </row>
    <row r="62" spans="1:8" ht="30" customHeight="1" x14ac:dyDescent="0.25">
      <c r="A62" s="70" t="s">
        <v>29</v>
      </c>
      <c r="B62" s="72"/>
      <c r="C62" s="48" t="s">
        <v>42</v>
      </c>
      <c r="D62" s="35" t="s">
        <v>65</v>
      </c>
      <c r="E62" s="35" t="s">
        <v>98</v>
      </c>
      <c r="F62" s="36">
        <v>0</v>
      </c>
      <c r="G62" s="49">
        <v>1829243</v>
      </c>
      <c r="H62" s="30"/>
    </row>
    <row r="63" spans="1:8" ht="30" customHeight="1" x14ac:dyDescent="0.25">
      <c r="A63" s="70" t="s">
        <v>29</v>
      </c>
      <c r="B63" s="72"/>
      <c r="C63" s="48" t="s">
        <v>42</v>
      </c>
      <c r="D63" s="35" t="s">
        <v>48</v>
      </c>
      <c r="E63" s="35" t="s">
        <v>98</v>
      </c>
      <c r="F63" s="36">
        <v>0</v>
      </c>
      <c r="G63" s="49">
        <v>2907499</v>
      </c>
      <c r="H63" s="30"/>
    </row>
    <row r="64" spans="1:8" ht="30" customHeight="1" x14ac:dyDescent="0.25">
      <c r="A64" s="70" t="s">
        <v>29</v>
      </c>
      <c r="B64" s="72"/>
      <c r="C64" s="48" t="s">
        <v>42</v>
      </c>
      <c r="D64" s="35" t="s">
        <v>60</v>
      </c>
      <c r="E64" s="35" t="s">
        <v>98</v>
      </c>
      <c r="F64" s="36">
        <v>0</v>
      </c>
      <c r="G64" s="49">
        <v>948673</v>
      </c>
      <c r="H64" s="30"/>
    </row>
    <row r="65" spans="1:8" ht="30" customHeight="1" x14ac:dyDescent="0.25">
      <c r="A65" s="70" t="s">
        <v>29</v>
      </c>
      <c r="B65" s="72"/>
      <c r="C65" s="48" t="s">
        <v>42</v>
      </c>
      <c r="D65" s="35" t="s">
        <v>66</v>
      </c>
      <c r="E65" s="35" t="s">
        <v>98</v>
      </c>
      <c r="F65" s="36">
        <v>0</v>
      </c>
      <c r="G65" s="49">
        <v>2018105</v>
      </c>
      <c r="H65" s="30"/>
    </row>
    <row r="66" spans="1:8" ht="30" customHeight="1" x14ac:dyDescent="0.25">
      <c r="A66" s="70" t="s">
        <v>29</v>
      </c>
      <c r="B66" s="72"/>
      <c r="C66" s="48" t="s">
        <v>42</v>
      </c>
      <c r="D66" s="35" t="s">
        <v>43</v>
      </c>
      <c r="E66" s="35" t="s">
        <v>98</v>
      </c>
      <c r="F66" s="36">
        <v>0</v>
      </c>
      <c r="G66" s="49">
        <v>4918789</v>
      </c>
      <c r="H66" s="30"/>
    </row>
    <row r="67" spans="1:8" ht="30" customHeight="1" x14ac:dyDescent="0.25">
      <c r="A67" s="70" t="s">
        <v>29</v>
      </c>
      <c r="B67" s="72"/>
      <c r="C67" s="48" t="s">
        <v>42</v>
      </c>
      <c r="D67" s="35" t="s">
        <v>63</v>
      </c>
      <c r="E67" s="35" t="s">
        <v>98</v>
      </c>
      <c r="F67" s="36">
        <v>0</v>
      </c>
      <c r="G67" s="49">
        <v>1603755</v>
      </c>
      <c r="H67" s="30"/>
    </row>
    <row r="68" spans="1:8" ht="30" customHeight="1" x14ac:dyDescent="0.25">
      <c r="A68" s="70" t="s">
        <v>29</v>
      </c>
      <c r="B68" s="72"/>
      <c r="C68" s="48" t="s">
        <v>42</v>
      </c>
      <c r="D68" s="35" t="s">
        <v>46</v>
      </c>
      <c r="E68" s="35" t="s">
        <v>98</v>
      </c>
      <c r="F68" s="36">
        <v>0</v>
      </c>
      <c r="G68" s="49">
        <v>2416062</v>
      </c>
      <c r="H68" s="30"/>
    </row>
    <row r="69" spans="1:8" ht="30" customHeight="1" x14ac:dyDescent="0.25">
      <c r="A69" s="70" t="s">
        <v>29</v>
      </c>
      <c r="B69" s="72"/>
      <c r="C69" s="48" t="s">
        <v>42</v>
      </c>
      <c r="D69" s="35" t="s">
        <v>56</v>
      </c>
      <c r="E69" s="35" t="s">
        <v>98</v>
      </c>
      <c r="F69" s="36">
        <v>0</v>
      </c>
      <c r="G69" s="49">
        <v>521246</v>
      </c>
      <c r="H69" s="30"/>
    </row>
    <row r="70" spans="1:8" ht="30" customHeight="1" x14ac:dyDescent="0.25">
      <c r="A70" s="70" t="s">
        <v>29</v>
      </c>
      <c r="B70" s="72"/>
      <c r="C70" s="48" t="s">
        <v>42</v>
      </c>
      <c r="D70" s="35" t="s">
        <v>45</v>
      </c>
      <c r="E70" s="35" t="s">
        <v>98</v>
      </c>
      <c r="F70" s="36">
        <v>0</v>
      </c>
      <c r="G70" s="49">
        <v>2258905</v>
      </c>
      <c r="H70" s="30"/>
    </row>
    <row r="71" spans="1:8" ht="30" customHeight="1" thickBot="1" x14ac:dyDescent="0.3">
      <c r="A71" s="70" t="s">
        <v>29</v>
      </c>
      <c r="B71" s="72"/>
      <c r="C71" s="50" t="s">
        <v>42</v>
      </c>
      <c r="D71" s="46" t="s">
        <v>64</v>
      </c>
      <c r="E71" s="46" t="s">
        <v>98</v>
      </c>
      <c r="F71" s="51">
        <v>0</v>
      </c>
      <c r="G71" s="52">
        <v>1720823</v>
      </c>
      <c r="H71" s="30"/>
    </row>
    <row r="72" spans="1:8" ht="18.75" customHeight="1" thickBot="1" x14ac:dyDescent="0.4">
      <c r="A72" s="8"/>
      <c r="B72" s="8"/>
      <c r="C72" s="24"/>
      <c r="D72" s="24"/>
      <c r="E72" s="24"/>
      <c r="F72" s="27" t="s">
        <v>91</v>
      </c>
      <c r="G72" s="45">
        <f>SUM(G53:G71)</f>
        <v>32097262</v>
      </c>
      <c r="H72" s="59">
        <v>1230</v>
      </c>
    </row>
    <row r="73" spans="1:8" ht="32.25" thickBot="1" x14ac:dyDescent="0.4">
      <c r="A73" s="70" t="s">
        <v>29</v>
      </c>
      <c r="B73" s="70"/>
      <c r="C73" s="8" t="s">
        <v>49</v>
      </c>
      <c r="D73" s="8" t="s">
        <v>50</v>
      </c>
      <c r="E73" s="29" t="s">
        <v>99</v>
      </c>
      <c r="F73" s="38">
        <v>0</v>
      </c>
      <c r="G73" s="28">
        <v>106957</v>
      </c>
      <c r="H73" s="59">
        <v>1231</v>
      </c>
    </row>
    <row r="74" spans="1:8" ht="32.25" thickBot="1" x14ac:dyDescent="0.4">
      <c r="A74" s="70" t="s">
        <v>29</v>
      </c>
      <c r="B74" s="70"/>
      <c r="C74" s="8" t="s">
        <v>30</v>
      </c>
      <c r="D74" s="8" t="s">
        <v>31</v>
      </c>
      <c r="E74" s="53" t="s">
        <v>32</v>
      </c>
      <c r="F74" s="39">
        <v>1606895</v>
      </c>
      <c r="G74" s="57">
        <v>0</v>
      </c>
      <c r="H74" s="60"/>
    </row>
    <row r="75" spans="1:8" ht="31.5" x14ac:dyDescent="0.35">
      <c r="A75" s="70" t="s">
        <v>68</v>
      </c>
      <c r="B75" s="70"/>
      <c r="C75" s="8" t="s">
        <v>30</v>
      </c>
      <c r="D75" s="41" t="s">
        <v>40</v>
      </c>
      <c r="E75" s="47" t="s">
        <v>73</v>
      </c>
      <c r="F75" s="43">
        <v>0</v>
      </c>
      <c r="G75" s="44">
        <v>3251371</v>
      </c>
      <c r="H75" s="59">
        <v>1232</v>
      </c>
    </row>
    <row r="76" spans="1:8" ht="32.25" thickBot="1" x14ac:dyDescent="0.4">
      <c r="A76" s="70" t="s">
        <v>68</v>
      </c>
      <c r="B76" s="70"/>
      <c r="C76" s="8" t="s">
        <v>30</v>
      </c>
      <c r="D76" s="41" t="s">
        <v>40</v>
      </c>
      <c r="E76" s="50" t="s">
        <v>73</v>
      </c>
      <c r="F76" s="51">
        <v>0</v>
      </c>
      <c r="G76" s="52">
        <v>4000000</v>
      </c>
      <c r="H76" s="59">
        <v>1233</v>
      </c>
    </row>
    <row r="77" spans="1:8" ht="19.5" customHeight="1" thickBot="1" x14ac:dyDescent="0.4">
      <c r="A77" s="8"/>
      <c r="B77" s="8"/>
      <c r="C77" s="8"/>
      <c r="D77" s="8"/>
      <c r="E77" s="24"/>
      <c r="F77" s="27" t="s">
        <v>91</v>
      </c>
      <c r="G77" s="45">
        <f>SUM(G75:G76)</f>
        <v>7251371</v>
      </c>
      <c r="H77" s="59"/>
    </row>
    <row r="78" spans="1:8" ht="32.25" thickBot="1" x14ac:dyDescent="0.4">
      <c r="A78" s="70" t="s">
        <v>68</v>
      </c>
      <c r="B78" s="70"/>
      <c r="C78" s="8" t="s">
        <v>30</v>
      </c>
      <c r="D78" s="8" t="s">
        <v>71</v>
      </c>
      <c r="E78" s="29" t="s">
        <v>72</v>
      </c>
      <c r="F78" s="38">
        <v>0</v>
      </c>
      <c r="G78" s="28">
        <v>39823</v>
      </c>
      <c r="H78" s="59">
        <v>1234</v>
      </c>
    </row>
    <row r="79" spans="1:8" ht="30" customHeight="1" x14ac:dyDescent="0.25">
      <c r="A79" s="70" t="s">
        <v>68</v>
      </c>
      <c r="B79" s="70"/>
      <c r="C79" s="8" t="s">
        <v>30</v>
      </c>
      <c r="D79" s="8" t="s">
        <v>70</v>
      </c>
      <c r="E79" s="8" t="s">
        <v>32</v>
      </c>
      <c r="F79" s="10">
        <v>81703295</v>
      </c>
      <c r="G79" s="25">
        <v>0</v>
      </c>
      <c r="H79" s="11"/>
    </row>
    <row r="80" spans="1:8" ht="30" customHeight="1" x14ac:dyDescent="0.25">
      <c r="A80" s="70" t="s">
        <v>68</v>
      </c>
      <c r="B80" s="70"/>
      <c r="C80" s="8" t="s">
        <v>30</v>
      </c>
      <c r="D80" s="8" t="s">
        <v>69</v>
      </c>
      <c r="E80" s="8" t="s">
        <v>32</v>
      </c>
      <c r="F80" s="10">
        <v>1007565</v>
      </c>
      <c r="G80" s="9">
        <v>0</v>
      </c>
      <c r="H80" s="11"/>
    </row>
    <row r="81" spans="1:7" x14ac:dyDescent="0.25">
      <c r="A81" s="1"/>
      <c r="B81" s="1"/>
      <c r="C81" s="1"/>
      <c r="D81" s="1"/>
      <c r="E81" s="1"/>
      <c r="F81" s="5"/>
      <c r="G81" s="23">
        <f>G19+G20+G39+G40+G41+G42+G43+G44+G52+G72+G73+G77+G78</f>
        <v>48405145</v>
      </c>
    </row>
    <row r="82" spans="1:7" x14ac:dyDescent="0.25">
      <c r="A82" s="73"/>
      <c r="B82" s="73"/>
      <c r="C82" s="73"/>
      <c r="D82" s="73"/>
      <c r="E82" s="73"/>
      <c r="F82" s="73"/>
      <c r="G82" s="73"/>
    </row>
    <row r="83" spans="1:7" x14ac:dyDescent="0.25">
      <c r="A83" s="64"/>
      <c r="B83" s="64"/>
      <c r="C83" s="64"/>
      <c r="D83" s="64"/>
      <c r="E83" s="64"/>
      <c r="F83" s="64"/>
      <c r="G83" s="64"/>
    </row>
    <row r="84" spans="1:7" ht="15" customHeight="1" x14ac:dyDescent="0.25">
      <c r="A84" s="63" t="s">
        <v>74</v>
      </c>
      <c r="B84" s="63"/>
      <c r="C84" s="63"/>
      <c r="D84" s="63"/>
      <c r="E84" s="63"/>
      <c r="F84" s="63"/>
      <c r="G84" s="63"/>
    </row>
    <row r="85" spans="1:7" x14ac:dyDescent="0.25">
      <c r="A85" s="64"/>
      <c r="B85" s="64"/>
      <c r="C85" s="64"/>
      <c r="D85" s="64"/>
      <c r="E85" s="64"/>
      <c r="F85" s="64"/>
      <c r="G85" s="64"/>
    </row>
    <row r="86" spans="1:7" x14ac:dyDescent="0.25">
      <c r="A86" s="8" t="s">
        <v>75</v>
      </c>
      <c r="B86" s="19">
        <v>4996552414</v>
      </c>
      <c r="C86" s="11"/>
    </row>
    <row r="87" spans="1:7" x14ac:dyDescent="0.25">
      <c r="A87" s="8" t="s">
        <v>76</v>
      </c>
      <c r="B87" s="20">
        <v>0</v>
      </c>
      <c r="C87" s="11"/>
    </row>
    <row r="88" spans="1:7" x14ac:dyDescent="0.25">
      <c r="A88" s="8" t="s">
        <v>77</v>
      </c>
      <c r="B88" s="19">
        <v>84317755</v>
      </c>
      <c r="C88" s="11"/>
    </row>
    <row r="89" spans="1:7" x14ac:dyDescent="0.25">
      <c r="A89" s="8" t="s">
        <v>78</v>
      </c>
      <c r="B89" s="19">
        <v>32204219</v>
      </c>
      <c r="C89" s="21">
        <f>B89+B90</f>
        <v>48405145</v>
      </c>
    </row>
    <row r="90" spans="1:7" x14ac:dyDescent="0.25">
      <c r="A90" s="8" t="s">
        <v>79</v>
      </c>
      <c r="B90" s="19">
        <v>16200926</v>
      </c>
      <c r="C90" s="11"/>
    </row>
    <row r="91" spans="1:7" x14ac:dyDescent="0.25">
      <c r="A91" s="8" t="s">
        <v>80</v>
      </c>
      <c r="B91" s="10">
        <v>4960639804</v>
      </c>
      <c r="C91" s="11"/>
    </row>
    <row r="92" spans="1:7" x14ac:dyDescent="0.25">
      <c r="A92" s="7"/>
    </row>
    <row r="93" spans="1:7" x14ac:dyDescent="0.25">
      <c r="A93" s="7"/>
    </row>
    <row r="94" spans="1:7" x14ac:dyDescent="0.25">
      <c r="A94" s="7"/>
    </row>
  </sheetData>
  <sortState xmlns:xlrd2="http://schemas.microsoft.com/office/spreadsheetml/2017/richdata2" ref="C75:G80">
    <sortCondition ref="D75:D80"/>
  </sortState>
  <mergeCells count="72">
    <mergeCell ref="A83:G83"/>
    <mergeCell ref="A84:G84"/>
    <mergeCell ref="A85:G85"/>
    <mergeCell ref="A76:B76"/>
    <mergeCell ref="A78:B78"/>
    <mergeCell ref="A79:B79"/>
    <mergeCell ref="A80:B80"/>
    <mergeCell ref="A82:G82"/>
    <mergeCell ref="A58:B58"/>
    <mergeCell ref="A59:B59"/>
    <mergeCell ref="A60:B60"/>
    <mergeCell ref="A61:B61"/>
    <mergeCell ref="A56:B56"/>
    <mergeCell ref="A51:B51"/>
    <mergeCell ref="A53:B53"/>
    <mergeCell ref="A54:B54"/>
    <mergeCell ref="A55:B55"/>
    <mergeCell ref="A57:B57"/>
    <mergeCell ref="A47:B47"/>
    <mergeCell ref="A48:B48"/>
    <mergeCell ref="A73:B73"/>
    <mergeCell ref="A74:B74"/>
    <mergeCell ref="A75:B75"/>
    <mergeCell ref="A63:B63"/>
    <mergeCell ref="A64:B64"/>
    <mergeCell ref="A65:B65"/>
    <mergeCell ref="A66:B66"/>
    <mergeCell ref="A67:B67"/>
    <mergeCell ref="A68:B68"/>
    <mergeCell ref="A69:B69"/>
    <mergeCell ref="A70:B70"/>
    <mergeCell ref="A71:B71"/>
    <mergeCell ref="A62:B62"/>
    <mergeCell ref="A50:B50"/>
    <mergeCell ref="A49:B49"/>
    <mergeCell ref="A43:B43"/>
    <mergeCell ref="A31:B31"/>
    <mergeCell ref="A32:B32"/>
    <mergeCell ref="A33:B33"/>
    <mergeCell ref="A34:B34"/>
    <mergeCell ref="A35:B35"/>
    <mergeCell ref="A36:B36"/>
    <mergeCell ref="A37:B37"/>
    <mergeCell ref="A38:B38"/>
    <mergeCell ref="A40:B40"/>
    <mergeCell ref="A41:B41"/>
    <mergeCell ref="A42:B42"/>
    <mergeCell ref="A44:B44"/>
    <mergeCell ref="A45:B45"/>
    <mergeCell ref="A46:B46"/>
    <mergeCell ref="A30:B30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</mergeCells>
  <pageMargins left="0.75" right="0.75" top="1" bottom="1" header="0.5" footer="0.5"/>
  <pageSetup scale="64" fitToHeight="0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39"/>
  <sheetViews>
    <sheetView workbookViewId="0">
      <selection activeCell="A30" sqref="A30:G30"/>
    </sheetView>
  </sheetViews>
  <sheetFormatPr baseColWidth="10" defaultRowHeight="15" x14ac:dyDescent="0.25"/>
  <cols>
    <col min="1" max="1" width="17.85546875" bestFit="1" customWidth="1"/>
    <col min="2" max="2" width="15.85546875" customWidth="1"/>
    <col min="3" max="3" width="15.42578125" bestFit="1" customWidth="1"/>
    <col min="4" max="4" width="12.7109375" bestFit="1" customWidth="1"/>
    <col min="5" max="5" width="45.7109375" bestFit="1" customWidth="1"/>
    <col min="6" max="6" width="9.5703125" bestFit="1" customWidth="1"/>
    <col min="7" max="7" width="10.7109375" bestFit="1" customWidth="1"/>
  </cols>
  <sheetData>
    <row r="1" spans="1:7" ht="18" x14ac:dyDescent="0.25">
      <c r="A1" s="65" t="s">
        <v>0</v>
      </c>
      <c r="B1" s="65"/>
      <c r="C1" s="65"/>
      <c r="D1" s="65"/>
      <c r="E1" s="65"/>
    </row>
    <row r="2" spans="1:7" x14ac:dyDescent="0.25">
      <c r="A2" s="64"/>
      <c r="B2" s="64"/>
      <c r="C2" s="64"/>
      <c r="D2" s="64"/>
      <c r="E2" s="64"/>
      <c r="F2" s="64"/>
    </row>
    <row r="3" spans="1:7" ht="15" customHeight="1" x14ac:dyDescent="0.25">
      <c r="A3" s="63" t="s">
        <v>1</v>
      </c>
      <c r="B3" s="63"/>
      <c r="C3" s="63"/>
      <c r="D3" s="63"/>
      <c r="E3" s="63"/>
    </row>
    <row r="4" spans="1:7" x14ac:dyDescent="0.25">
      <c r="A4" s="64"/>
      <c r="B4" s="64"/>
      <c r="C4" s="64"/>
      <c r="D4" s="64"/>
      <c r="E4" s="64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9210920</v>
      </c>
      <c r="C7" s="1"/>
      <c r="D7" s="2" t="s">
        <v>11</v>
      </c>
      <c r="E7" s="4">
        <v>43910</v>
      </c>
    </row>
    <row r="8" spans="1:7" x14ac:dyDescent="0.25">
      <c r="A8" s="2" t="s">
        <v>12</v>
      </c>
      <c r="B8" s="1" t="s">
        <v>81</v>
      </c>
      <c r="C8" s="1"/>
      <c r="D8" s="1"/>
      <c r="E8" s="1"/>
    </row>
    <row r="9" spans="1:7" ht="21" x14ac:dyDescent="0.35">
      <c r="A9" s="1"/>
      <c r="F9" s="22" t="s">
        <v>86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44</v>
      </c>
      <c r="C12" s="1"/>
      <c r="D12" s="2" t="s">
        <v>16</v>
      </c>
      <c r="E12" s="4">
        <v>43909</v>
      </c>
    </row>
    <row r="13" spans="1:7" x14ac:dyDescent="0.25">
      <c r="A13" s="2" t="s">
        <v>17</v>
      </c>
      <c r="B13" s="3">
        <v>1</v>
      </c>
      <c r="C13" s="1"/>
      <c r="D13" s="2" t="s">
        <v>18</v>
      </c>
      <c r="E13" s="4">
        <v>43909</v>
      </c>
    </row>
    <row r="14" spans="1:7" x14ac:dyDescent="0.25">
      <c r="A14" s="2" t="s">
        <v>19</v>
      </c>
      <c r="B14" s="4">
        <v>43909</v>
      </c>
      <c r="C14" s="1"/>
      <c r="D14" s="1"/>
      <c r="E14" s="1"/>
    </row>
    <row r="15" spans="1:7" ht="15" customHeight="1" x14ac:dyDescent="0.25">
      <c r="A15" s="63" t="s">
        <v>20</v>
      </c>
      <c r="B15" s="63"/>
      <c r="C15" s="63"/>
      <c r="D15" s="63"/>
      <c r="E15" s="63"/>
      <c r="F15" s="63"/>
      <c r="G15" s="63"/>
    </row>
    <row r="16" spans="1:7" ht="15.75" thickBot="1" x14ac:dyDescent="0.3">
      <c r="A16" s="64"/>
      <c r="B16" s="64"/>
      <c r="C16" s="64"/>
      <c r="D16" s="64"/>
      <c r="E16" s="64"/>
      <c r="F16" s="64"/>
      <c r="G16" s="64"/>
    </row>
    <row r="17" spans="1:8" x14ac:dyDescent="0.25">
      <c r="A17" s="66" t="s">
        <v>21</v>
      </c>
      <c r="B17" s="67"/>
      <c r="C17" s="67" t="s">
        <v>22</v>
      </c>
      <c r="D17" s="67" t="s">
        <v>23</v>
      </c>
      <c r="E17" s="67" t="s">
        <v>24</v>
      </c>
      <c r="F17" s="15" t="s">
        <v>25</v>
      </c>
      <c r="G17" s="15" t="s">
        <v>27</v>
      </c>
      <c r="H17" s="16" t="s">
        <v>84</v>
      </c>
    </row>
    <row r="18" spans="1:8" ht="15.75" thickBot="1" x14ac:dyDescent="0.3">
      <c r="A18" s="68"/>
      <c r="B18" s="69"/>
      <c r="C18" s="69"/>
      <c r="D18" s="69"/>
      <c r="E18" s="69"/>
      <c r="F18" s="17" t="s">
        <v>26</v>
      </c>
      <c r="G18" s="17" t="s">
        <v>28</v>
      </c>
      <c r="H18" s="18" t="s">
        <v>85</v>
      </c>
    </row>
    <row r="19" spans="1:8" ht="80.099999999999994" customHeight="1" x14ac:dyDescent="0.25">
      <c r="A19" s="74" t="s">
        <v>29</v>
      </c>
      <c r="B19" s="74"/>
      <c r="C19" s="12" t="s">
        <v>82</v>
      </c>
      <c r="D19" s="12" t="s">
        <v>34</v>
      </c>
      <c r="E19" s="12" t="s">
        <v>83</v>
      </c>
      <c r="F19" s="13">
        <v>0</v>
      </c>
      <c r="G19" s="14">
        <v>411514</v>
      </c>
      <c r="H19" s="62">
        <v>1248</v>
      </c>
    </row>
    <row r="20" spans="1:8" x14ac:dyDescent="0.25">
      <c r="A20" s="73"/>
      <c r="B20" s="73"/>
      <c r="C20" s="73"/>
      <c r="D20" s="73"/>
      <c r="E20" s="73"/>
      <c r="F20" s="73"/>
      <c r="G20" s="73"/>
    </row>
    <row r="21" spans="1:8" x14ac:dyDescent="0.25">
      <c r="A21" s="6"/>
      <c r="B21" s="6"/>
      <c r="C21" s="6"/>
      <c r="D21" s="6"/>
      <c r="E21" s="6"/>
      <c r="F21" s="6"/>
      <c r="G21" s="6"/>
    </row>
    <row r="22" spans="1:8" x14ac:dyDescent="0.25">
      <c r="A22" s="6"/>
      <c r="B22" s="6"/>
      <c r="C22" s="6"/>
      <c r="D22" s="6"/>
      <c r="E22" s="6"/>
      <c r="F22" s="6"/>
      <c r="G22" s="6"/>
    </row>
    <row r="23" spans="1:8" x14ac:dyDescent="0.25">
      <c r="A23" s="6"/>
      <c r="B23" s="6"/>
      <c r="C23" s="6"/>
      <c r="D23" s="6"/>
      <c r="E23" s="6"/>
      <c r="F23" s="6"/>
      <c r="G23" s="6"/>
    </row>
    <row r="24" spans="1:8" x14ac:dyDescent="0.25">
      <c r="A24" s="6"/>
      <c r="B24" s="6"/>
      <c r="C24" s="6"/>
      <c r="D24" s="6"/>
      <c r="E24" s="6"/>
      <c r="F24" s="6"/>
      <c r="G24" s="6"/>
    </row>
    <row r="25" spans="1:8" x14ac:dyDescent="0.25">
      <c r="A25" s="6"/>
      <c r="B25" s="6"/>
      <c r="C25" s="6"/>
      <c r="D25" s="6"/>
      <c r="E25" s="6"/>
      <c r="F25" s="6"/>
      <c r="G25" s="6"/>
    </row>
    <row r="26" spans="1:8" x14ac:dyDescent="0.25">
      <c r="A26" s="6"/>
      <c r="B26" s="6"/>
      <c r="C26" s="6"/>
      <c r="D26" s="6"/>
      <c r="E26" s="6"/>
      <c r="F26" s="6"/>
      <c r="G26" s="6"/>
    </row>
    <row r="27" spans="1:8" x14ac:dyDescent="0.25">
      <c r="A27" s="6"/>
      <c r="B27" s="6"/>
      <c r="C27" s="6"/>
      <c r="D27" s="6"/>
      <c r="E27" s="6"/>
      <c r="F27" s="6"/>
      <c r="G27" s="6"/>
    </row>
    <row r="28" spans="1:8" x14ac:dyDescent="0.25">
      <c r="A28" s="64"/>
      <c r="B28" s="64"/>
      <c r="C28" s="64"/>
      <c r="D28" s="64"/>
      <c r="E28" s="64"/>
      <c r="F28" s="64"/>
      <c r="G28" s="64"/>
    </row>
    <row r="29" spans="1:8" ht="15" customHeight="1" x14ac:dyDescent="0.25">
      <c r="A29" s="63" t="s">
        <v>74</v>
      </c>
      <c r="B29" s="63"/>
      <c r="C29" s="63"/>
      <c r="D29" s="63"/>
      <c r="E29" s="63"/>
      <c r="F29" s="63"/>
      <c r="G29" s="63"/>
    </row>
    <row r="30" spans="1:8" x14ac:dyDescent="0.25">
      <c r="A30" s="64"/>
      <c r="B30" s="64"/>
      <c r="C30" s="64"/>
      <c r="D30" s="64"/>
      <c r="E30" s="64"/>
      <c r="F30" s="64"/>
      <c r="G30" s="64"/>
    </row>
    <row r="31" spans="1:8" x14ac:dyDescent="0.25">
      <c r="A31" s="8" t="s">
        <v>75</v>
      </c>
      <c r="B31" s="19">
        <v>2552875422</v>
      </c>
      <c r="C31" s="11"/>
    </row>
    <row r="32" spans="1:8" x14ac:dyDescent="0.25">
      <c r="A32" s="8" t="s">
        <v>76</v>
      </c>
      <c r="B32" s="20">
        <v>0</v>
      </c>
      <c r="C32" s="11"/>
    </row>
    <row r="33" spans="1:3" x14ac:dyDescent="0.25">
      <c r="A33" s="8" t="s">
        <v>77</v>
      </c>
      <c r="B33" s="20">
        <v>0</v>
      </c>
      <c r="C33" s="11"/>
    </row>
    <row r="34" spans="1:3" x14ac:dyDescent="0.25">
      <c r="A34" s="8" t="s">
        <v>78</v>
      </c>
      <c r="B34" s="20">
        <v>0</v>
      </c>
      <c r="C34" s="21">
        <f>B34+B35</f>
        <v>411514</v>
      </c>
    </row>
    <row r="35" spans="1:3" x14ac:dyDescent="0.25">
      <c r="A35" s="8" t="s">
        <v>79</v>
      </c>
      <c r="B35" s="19">
        <v>411514</v>
      </c>
      <c r="C35" s="11"/>
    </row>
    <row r="36" spans="1:3" x14ac:dyDescent="0.25">
      <c r="A36" s="8" t="s">
        <v>80</v>
      </c>
      <c r="B36" s="10">
        <v>2553286936</v>
      </c>
      <c r="C36" s="11"/>
    </row>
    <row r="37" spans="1:3" x14ac:dyDescent="0.25">
      <c r="A37" s="7"/>
    </row>
    <row r="38" spans="1:3" x14ac:dyDescent="0.25">
      <c r="A38" s="7"/>
    </row>
    <row r="39" spans="1:3" x14ac:dyDescent="0.25">
      <c r="A39" s="7"/>
    </row>
  </sheetData>
  <mergeCells count="15">
    <mergeCell ref="A28:G28"/>
    <mergeCell ref="A29:G29"/>
    <mergeCell ref="A30:G30"/>
    <mergeCell ref="A17:B18"/>
    <mergeCell ref="C17:C18"/>
    <mergeCell ref="D17:D18"/>
    <mergeCell ref="E17:E18"/>
    <mergeCell ref="A19:B19"/>
    <mergeCell ref="A20:G20"/>
    <mergeCell ref="A16:G16"/>
    <mergeCell ref="A1:E1"/>
    <mergeCell ref="A2:F2"/>
    <mergeCell ref="A3:E3"/>
    <mergeCell ref="A4:E4"/>
    <mergeCell ref="A15:G15"/>
  </mergeCells>
  <pageMargins left="0.7" right="0.7" top="0.75" bottom="0.75" header="0.3" footer="0.3"/>
  <pageSetup scale="64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2020-03-24T17:56:33Z</cp:lastPrinted>
  <dcterms:created xsi:type="dcterms:W3CDTF">2020-03-20T20:15:52Z</dcterms:created>
  <dcterms:modified xsi:type="dcterms:W3CDTF">2020-03-30T16:22:22Z</dcterms:modified>
</cp:coreProperties>
</file>