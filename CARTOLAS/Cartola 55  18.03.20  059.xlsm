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13DC4605-2F6C-4F43-BD06-8F628C6C182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63" i="2" l="1"/>
  <c r="G152" i="2"/>
  <c r="G26" i="3" l="1"/>
  <c r="G21" i="3"/>
  <c r="G27" i="3" s="1"/>
  <c r="C35" i="3"/>
  <c r="G21" i="2"/>
  <c r="G147" i="2"/>
  <c r="C171" i="2"/>
</calcChain>
</file>

<file path=xl/sharedStrings.xml><?xml version="1.0" encoding="utf-8"?>
<sst xmlns="http://schemas.openxmlformats.org/spreadsheetml/2006/main" count="670" uniqueCount="80">
  <si>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</si>
  <si>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</si>
  <si>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</si>
  <si>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</si>
  <si>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</si>
  <si>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</si>
  <si>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</si>
  <si>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</si>
  <si>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</si>
  <si>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</si>
  <si>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</si>
  <si>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</si>
  <si>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</si>
  <si>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</si>
  <si>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</si>
  <si>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</si>
  <si>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</si>
  <si>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</si>
  <si>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</si>
  <si>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</si>
  <si>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</si>
  <si>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</si>
  <si>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</si>
  <si>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</si>
  <si>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</si>
  <si>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</si>
  <si>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</si>
  <si>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</si>
  <si>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</si>
  <si>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18-03-2020  </t>
  </si>
  <si>
    <t>STGO.PRINCIPAL </t>
  </si>
  <si>
    <t>7092483 </t>
  </si>
  <si>
    <t>TRANSFERENCIA INTERNET A BANCO ESTADO S/TC CLIENTE</t>
  </si>
  <si>
    <t>7128412 </t>
  </si>
  <si>
    <t>CARGO TRANSFERENCIA PAG ALTO VALOR INTERN</t>
  </si>
  <si>
    <t>7128411 </t>
  </si>
  <si>
    <t>0205747 </t>
  </si>
  <si>
    <t>1350037 </t>
  </si>
  <si>
    <t>0203599 </t>
  </si>
  <si>
    <t>0205746 </t>
  </si>
  <si>
    <t>0215619 </t>
  </si>
  <si>
    <t>0206266 </t>
  </si>
  <si>
    <t>1800255 </t>
  </si>
  <si>
    <t>7059705 </t>
  </si>
  <si>
    <t>TRANSFERENCIA BANCOESTADO DE CORPORACION MUNICIPAL DE ANCUD PARA LA EDUCACION S</t>
  </si>
  <si>
    <t>PAINE </t>
  </si>
  <si>
    <t>2083790 </t>
  </si>
  <si>
    <t>7058942 </t>
  </si>
  <si>
    <t>TRANSFERENCIA BANCOESTADO DE ILUSTRE MUNICIPALIDAD DE CHAITEN</t>
  </si>
  <si>
    <t>0204412 </t>
  </si>
  <si>
    <t>19-03-2020  </t>
  </si>
  <si>
    <t>7075866 </t>
  </si>
  <si>
    <t>7090388 </t>
  </si>
  <si>
    <t>7076778 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</si>
  <si>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</si>
  <si>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</si>
  <si>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</si>
  <si>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</si>
  <si>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</si>
  <si>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</si>
  <si>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</si>
  <si>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</si>
  <si>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0203286 </t>
  </si>
  <si>
    <t>0204144 </t>
  </si>
  <si>
    <t>Numeros</t>
  </si>
  <si>
    <t>Ingresos</t>
  </si>
  <si>
    <t>12  Comprobantes</t>
  </si>
  <si>
    <t>total</t>
  </si>
  <si>
    <t>ABONO PAGO A PROVEEDORES SUBSECRETARIA DE SALUD PUBLICA</t>
  </si>
  <si>
    <t>ABONO PAGO A PROVEEDORES CORPORACION MUNICIPAL DE PANGUIPULLI</t>
  </si>
  <si>
    <t>ABONO PAGO A PROVEEDORES SERVICIO DE SALUD DE ARICA</t>
  </si>
  <si>
    <t>ABONO PAGO A PROVEEDORES MUNICIPALIDAD DE MONTE PATRIA</t>
  </si>
  <si>
    <t>ABONO PAGO A PROVEEDORES HODPITAL DE MARCHIGUE</t>
  </si>
  <si>
    <t>ABONO PAGO A PROVEEDORES S.S.MET. OCCIDENTE  HOSPITAL SAN JOSE DE MAIPO</t>
  </si>
  <si>
    <t>PAGOS VARIOS DESDE BCO SANTANDER MUNICIPALIDAD DE TALCA</t>
  </si>
  <si>
    <t>BANCO DE CREDITO E INVERSIONES MUNICIPALIDAD DE ALTO HOSPICIO</t>
  </si>
  <si>
    <t>69.265.100-6 STGO.PRINCIPAL </t>
  </si>
  <si>
    <t>DEPOSITO CON DOCUMENTOS MUNICIPALIDAD DE PAINE</t>
  </si>
  <si>
    <t>ABONO PAGO A PROVEEDORES SERVICIO DE SALUD DE COQUIMBO</t>
  </si>
  <si>
    <t>ABONO PAGO A PROVEEDORES S.DE S. COQUIMBO  HOSPITAL DE OVALLE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</si>
</sst>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 * #,##0_ ;_ * \-#,##0_ ;_ * &quot;-&quot;_ ;_ @_ 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5">
    <xf numFmtId="0" fontId="0" fillId="0" borderId="0"/>
    <xf numFmtId="41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3" fontId="21" fillId="0" borderId="0" xfId="0" applyNumberFormat="1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21" fillId="0" borderId="10" xfId="0" applyFont="1" applyBorder="1" applyAlignment="1">
      <alignment horizontal="right" wrapText="1"/>
    </xf>
    <xf numFmtId="0" fontId="0" fillId="0" borderId="12" xfId="0" applyBorder="1" applyAlignment="1">
      <alignment wrapText="1"/>
    </xf>
    <xf numFmtId="0" fontId="16" fillId="0" borderId="14" xfId="0" applyFont="1" applyBorder="1" applyAlignment="1">
      <alignment horizontal="right" vertical="top" wrapText="1"/>
    </xf>
    <xf numFmtId="0" fontId="16" fillId="0" borderId="15" xfId="0" applyFont="1" applyBorder="1"/>
    <xf numFmtId="0" fontId="16" fillId="0" borderId="18" xfId="0" applyFont="1" applyBorder="1"/>
    <xf numFmtId="0" fontId="22" fillId="0" borderId="0" xfId="0" applyFont="1"/>
    <xf numFmtId="0" fontId="21" fillId="0" borderId="19" xfId="0" applyFont="1" applyBorder="1" applyAlignment="1">
      <alignment horizontal="right" wrapText="1"/>
    </xf>
    <xf numFmtId="0" fontId="0" fillId="0" borderId="20" xfId="0" applyBorder="1"/>
    <xf numFmtId="3" fontId="23" fillId="0" borderId="11" xfId="0" applyNumberFormat="1" applyFont="1" applyBorder="1" applyAlignment="1">
      <alignment horizontal="right" wrapText="1"/>
    </xf>
    <xf numFmtId="0" fontId="0" fillId="0" borderId="22" xfId="0" applyBorder="1" applyAlignment="1">
      <alignment wrapText="1"/>
    </xf>
    <xf numFmtId="0" fontId="0" fillId="0" borderId="19" xfId="0" applyBorder="1" applyAlignment="1">
      <alignment wrapText="1"/>
    </xf>
    <xf numFmtId="0" fontId="16" fillId="0" borderId="0" xfId="0" applyFont="1" applyBorder="1" applyAlignment="1">
      <alignment horizontal="right" vertical="top" wrapText="1"/>
    </xf>
    <xf numFmtId="0" fontId="21" fillId="0" borderId="22" xfId="0" applyFont="1" applyBorder="1" applyAlignment="1">
      <alignment horizontal="right" wrapText="1"/>
    </xf>
    <xf numFmtId="3" fontId="23" fillId="0" borderId="24" xfId="0" applyNumberFormat="1" applyFont="1" applyBorder="1" applyAlignment="1">
      <alignment horizontal="right" wrapText="1"/>
    </xf>
    <xf numFmtId="0" fontId="16" fillId="0" borderId="13" xfId="0" applyFont="1" applyBorder="1" applyAlignment="1">
      <alignment wrapText="1"/>
    </xf>
    <xf numFmtId="0" fontId="16" fillId="0" borderId="14" xfId="0" applyFont="1" applyBorder="1" applyAlignment="1">
      <alignment wrapText="1"/>
    </xf>
    <xf numFmtId="0" fontId="23" fillId="0" borderId="14" xfId="0" applyFont="1" applyBorder="1" applyAlignment="1">
      <alignment horizontal="right" wrapText="1"/>
    </xf>
    <xf numFmtId="3" fontId="23" fillId="0" borderId="15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16" fillId="0" borderId="17" xfId="0" applyFont="1" applyBorder="1" applyAlignment="1">
      <alignment wrapText="1"/>
    </xf>
    <xf numFmtId="0" fontId="23" fillId="0" borderId="17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0" fillId="0" borderId="21" xfId="0" applyBorder="1" applyAlignment="1">
      <alignment wrapText="1"/>
    </xf>
    <xf numFmtId="0" fontId="16" fillId="0" borderId="0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0" fontId="16" fillId="0" borderId="25" xfId="0" applyFont="1" applyBorder="1" applyAlignment="1">
      <alignment wrapText="1"/>
    </xf>
    <xf numFmtId="3" fontId="23" fillId="0" borderId="26" xfId="0" applyNumberFormat="1" applyFont="1" applyBorder="1" applyAlignment="1">
      <alignment horizontal="right" wrapText="1"/>
    </xf>
    <xf numFmtId="0" fontId="21" fillId="0" borderId="28" xfId="0" applyFont="1" applyBorder="1" applyAlignment="1">
      <alignment horizontal="right" wrapText="1"/>
    </xf>
    <xf numFmtId="41" fontId="23" fillId="0" borderId="10" xfId="1" applyFont="1" applyBorder="1" applyAlignment="1">
      <alignment horizontal="right" wrapText="1"/>
    </xf>
    <xf numFmtId="0" fontId="0" fillId="0" borderId="10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1" fillId="0" borderId="0" xfId="0" applyFont="1" applyBorder="1" applyAlignment="1">
      <alignment horizontal="right" vertical="center" wrapText="1"/>
    </xf>
    <xf numFmtId="0" fontId="0" fillId="0" borderId="0" xfId="0" applyBorder="1" applyAlignment="1">
      <alignment vertical="center"/>
    </xf>
    <xf numFmtId="0" fontId="0" fillId="0" borderId="12" xfId="0" applyBorder="1" applyAlignment="1">
      <alignment vertical="center" wrapText="1"/>
    </xf>
    <xf numFmtId="0" fontId="0" fillId="0" borderId="20" xfId="0" applyBorder="1" applyAlignment="1">
      <alignment vertical="center"/>
    </xf>
    <xf numFmtId="3" fontId="23" fillId="0" borderId="12" xfId="0" applyNumberFormat="1" applyFont="1" applyBorder="1" applyAlignment="1">
      <alignment horizontal="right" vertical="center" wrapText="1"/>
    </xf>
    <xf numFmtId="0" fontId="0" fillId="0" borderId="22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3" xfId="0" applyBorder="1" applyAlignment="1">
      <alignment vertical="center"/>
    </xf>
    <xf numFmtId="0" fontId="21" fillId="0" borderId="22" xfId="0" applyFont="1" applyBorder="1" applyAlignment="1">
      <alignment horizontal="right" vertical="center" wrapText="1"/>
    </xf>
    <xf numFmtId="3" fontId="23" fillId="0" borderId="24" xfId="0" applyNumberFormat="1" applyFont="1" applyBorder="1" applyAlignment="1">
      <alignment horizontal="right" vertical="center" wrapText="1"/>
    </xf>
    <xf numFmtId="0" fontId="16" fillId="0" borderId="13" xfId="0" applyFont="1" applyBorder="1" applyAlignment="1">
      <alignment vertical="center" wrapText="1"/>
    </xf>
    <xf numFmtId="0" fontId="16" fillId="0" borderId="14" xfId="0" applyFont="1" applyBorder="1" applyAlignment="1">
      <alignment vertical="center" wrapText="1"/>
    </xf>
    <xf numFmtId="0" fontId="23" fillId="0" borderId="14" xfId="0" applyFont="1" applyBorder="1" applyAlignment="1">
      <alignment horizontal="right" vertical="center" wrapText="1"/>
    </xf>
    <xf numFmtId="3" fontId="23" fillId="0" borderId="15" xfId="0" applyNumberFormat="1" applyFont="1" applyBorder="1" applyAlignment="1">
      <alignment horizontal="right" vertical="center" wrapText="1"/>
    </xf>
    <xf numFmtId="0" fontId="16" fillId="0" borderId="16" xfId="0" applyFont="1" applyBorder="1" applyAlignment="1">
      <alignment vertical="center" wrapText="1"/>
    </xf>
    <xf numFmtId="0" fontId="16" fillId="0" borderId="17" xfId="0" applyFont="1" applyBorder="1" applyAlignment="1">
      <alignment vertical="center" wrapText="1"/>
    </xf>
    <xf numFmtId="0" fontId="23" fillId="0" borderId="17" xfId="0" applyFont="1" applyBorder="1" applyAlignment="1">
      <alignment horizontal="right" vertical="center" wrapText="1"/>
    </xf>
    <xf numFmtId="3" fontId="23" fillId="0" borderId="18" xfId="0" applyNumberFormat="1" applyFont="1" applyBorder="1" applyAlignment="1">
      <alignment horizontal="right" vertical="center" wrapText="1"/>
    </xf>
    <xf numFmtId="0" fontId="0" fillId="0" borderId="27" xfId="0" applyBorder="1" applyAlignment="1">
      <alignment vertical="center" wrapText="1"/>
    </xf>
    <xf numFmtId="0" fontId="21" fillId="0" borderId="29" xfId="0" applyFont="1" applyBorder="1" applyAlignment="1">
      <alignment horizontal="right" vertical="center" wrapText="1"/>
    </xf>
    <xf numFmtId="3" fontId="23" fillId="0" borderId="30" xfId="0" applyNumberFormat="1" applyFont="1" applyBorder="1" applyAlignment="1">
      <alignment horizontal="right" vertical="center" wrapText="1"/>
    </xf>
    <xf numFmtId="0" fontId="16" fillId="0" borderId="25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23" fillId="0" borderId="0" xfId="0" applyFont="1" applyBorder="1" applyAlignment="1">
      <alignment horizontal="right" vertical="center" wrapText="1"/>
    </xf>
    <xf numFmtId="3" fontId="23" fillId="0" borderId="26" xfId="0" applyNumberFormat="1" applyFont="1" applyBorder="1" applyAlignment="1">
      <alignment horizontal="right" vertical="center" wrapText="1"/>
    </xf>
    <xf numFmtId="0" fontId="16" fillId="0" borderId="10" xfId="0" applyFont="1" applyBorder="1" applyAlignment="1">
      <alignment wrapText="1"/>
    </xf>
    <xf numFmtId="0" fontId="16" fillId="0" borderId="21" xfId="0" applyFont="1" applyBorder="1" applyAlignment="1">
      <alignment wrapText="1"/>
    </xf>
    <xf numFmtId="3" fontId="23" fillId="0" borderId="31" xfId="0" applyNumberFormat="1" applyFont="1" applyBorder="1" applyAlignment="1">
      <alignment horizontal="right" wrapText="1"/>
    </xf>
    <xf numFmtId="0" fontId="21" fillId="0" borderId="12" xfId="0" applyFont="1" applyBorder="1" applyAlignment="1">
      <alignment horizontal="right" wrapText="1"/>
    </xf>
    <xf numFmtId="0" fontId="22" fillId="0" borderId="20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0" fontId="22" fillId="0" borderId="20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10" xfId="0" applyBorder="1" applyAlignment="1">
      <alignment wrapText="1"/>
    </xf>
    <xf numFmtId="0" fontId="0" fillId="0" borderId="0" xfId="0" applyAlignment="1">
      <alignment horizontal="right" wrapText="1"/>
    </xf>
    <xf numFmtId="0" fontId="0" fillId="0" borderId="12" xfId="0" applyBorder="1" applyAlignment="1">
      <alignment wrapText="1"/>
    </xf>
    <xf numFmtId="0" fontId="20" fillId="0" borderId="0" xfId="0" applyFont="1" applyAlignment="1">
      <alignment wrapText="1"/>
    </xf>
    <xf numFmtId="0" fontId="16" fillId="0" borderId="13" xfId="0" applyFont="1" applyBorder="1" applyAlignment="1">
      <alignment vertical="top" wrapText="1"/>
    </xf>
    <xf numFmtId="0" fontId="16" fillId="0" borderId="14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6" fillId="0" borderId="0" xfId="0" applyFont="1" applyBorder="1" applyAlignment="1">
      <alignment vertical="top" wrapText="1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</cellXfs>
  <cellStyles count="45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Hipervínculo" xfId="43" builtinId="8" customBuiltin="1"/>
    <cellStyle name="Hipervínculo visitado" xfId="44" builtinId="9" customBuiltin="1"/>
    <cellStyle name="Incorrecto" xfId="8" builtinId="27" customBuiltin="1"/>
    <cellStyle name="Millares [0]" xfId="1" builtinId="6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176"/>
  <sheetViews>
    <sheetView showGridLines="0" tabSelected="1" topLeftCell="A67" workbookViewId="0">
      <selection activeCell="E23" sqref="E23"/>
    </sheetView>
  </sheetViews>
  <sheetFormatPr baseColWidth="10" defaultRowHeight="15" x14ac:dyDescent="0.25"/>
  <cols>
    <col min="1" max="1" width="17.85546875" bestFit="1" customWidth="1"/>
    <col min="2" max="2" width="15.140625" customWidth="1"/>
    <col min="3" max="3" width="16.140625" bestFit="1" customWidth="1"/>
    <col min="4" max="4" width="12.7109375" bestFit="1" customWidth="1"/>
    <col min="5" max="5" width="45.7109375" bestFit="1" customWidth="1"/>
    <col min="6" max="6" width="11.140625" bestFit="1" customWidth="1"/>
    <col min="7" max="7" width="12" bestFit="1" customWidth="1"/>
  </cols>
  <sheetData>
    <row r="1" spans="1:7" ht="18" customHeight="1" x14ac:dyDescent="0.25">
      <c r="A1" s="82" t="s">
        <v>0</v>
      </c>
      <c r="B1" s="82"/>
      <c r="C1" s="82"/>
      <c r="D1" s="82"/>
      <c r="E1" s="82"/>
    </row>
    <row r="2" spans="1:7" x14ac:dyDescent="0.25">
      <c r="A2" s="77"/>
      <c r="B2" s="77"/>
      <c r="C2" s="77"/>
      <c r="D2" s="77"/>
      <c r="E2" s="77"/>
      <c r="F2" s="77"/>
    </row>
    <row r="3" spans="1:7" ht="15" customHeight="1" x14ac:dyDescent="0.25">
      <c r="A3" s="78" t="s">
        <v>1</v>
      </c>
      <c r="B3" s="78"/>
      <c r="C3" s="78"/>
      <c r="D3" s="78"/>
      <c r="E3" s="78"/>
    </row>
    <row r="4" spans="1:7" x14ac:dyDescent="0.25">
      <c r="A4" s="77"/>
      <c r="B4" s="77"/>
      <c r="C4" s="77"/>
      <c r="D4" s="77"/>
      <c r="E4" s="77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43910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19" t="s">
        <v>66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55</v>
      </c>
      <c r="C12" s="1"/>
      <c r="D12" s="2" t="s">
        <v>16</v>
      </c>
      <c r="E12" s="4">
        <v>43908</v>
      </c>
    </row>
    <row r="13" spans="1:7" x14ac:dyDescent="0.25">
      <c r="A13" s="2" t="s">
        <v>17</v>
      </c>
      <c r="B13" s="3">
        <v>141</v>
      </c>
      <c r="C13" s="1"/>
      <c r="D13" s="2" t="s">
        <v>18</v>
      </c>
      <c r="E13" s="4">
        <v>43909</v>
      </c>
    </row>
    <row r="14" spans="1:7" x14ac:dyDescent="0.25">
      <c r="A14" s="2" t="s">
        <v>19</v>
      </c>
      <c r="B14" s="4">
        <v>43908</v>
      </c>
      <c r="C14" s="1"/>
      <c r="D14" s="1"/>
      <c r="E14" s="1"/>
    </row>
    <row r="15" spans="1:7" ht="15" customHeight="1" x14ac:dyDescent="0.25">
      <c r="A15" s="78" t="s">
        <v>20</v>
      </c>
      <c r="B15" s="78"/>
      <c r="C15" s="78"/>
      <c r="D15" s="78"/>
      <c r="E15" s="78"/>
      <c r="F15" s="78"/>
      <c r="G15" s="78"/>
    </row>
    <row r="16" spans="1:7" ht="15.75" thickBot="1" x14ac:dyDescent="0.3">
      <c r="A16" s="77"/>
      <c r="B16" s="77"/>
      <c r="C16" s="77"/>
      <c r="D16" s="77"/>
      <c r="E16" s="77"/>
      <c r="F16" s="77"/>
      <c r="G16" s="77"/>
    </row>
    <row r="17" spans="1:8" x14ac:dyDescent="0.25">
      <c r="A17" s="83" t="s">
        <v>21</v>
      </c>
      <c r="B17" s="84"/>
      <c r="C17" s="84" t="s">
        <v>22</v>
      </c>
      <c r="D17" s="84" t="s">
        <v>23</v>
      </c>
      <c r="E17" s="84" t="s">
        <v>24</v>
      </c>
      <c r="F17" s="16" t="s">
        <v>25</v>
      </c>
      <c r="G17" s="16" t="s">
        <v>27</v>
      </c>
      <c r="H17" s="17" t="s">
        <v>64</v>
      </c>
    </row>
    <row r="18" spans="1:8" ht="15.75" thickBot="1" x14ac:dyDescent="0.3">
      <c r="A18" s="85"/>
      <c r="B18" s="86"/>
      <c r="C18" s="86"/>
      <c r="D18" s="87"/>
      <c r="E18" s="87"/>
      <c r="F18" s="25" t="s">
        <v>26</v>
      </c>
      <c r="G18" s="25" t="s">
        <v>28</v>
      </c>
      <c r="H18" s="18" t="s">
        <v>65</v>
      </c>
    </row>
    <row r="19" spans="1:8" ht="31.5" x14ac:dyDescent="0.35">
      <c r="A19" s="81" t="s">
        <v>29</v>
      </c>
      <c r="B19" s="81"/>
      <c r="C19" s="23" t="s">
        <v>30</v>
      </c>
      <c r="D19" s="28" t="s">
        <v>38</v>
      </c>
      <c r="E19" s="29" t="s">
        <v>68</v>
      </c>
      <c r="F19" s="30">
        <v>0</v>
      </c>
      <c r="G19" s="31">
        <v>353085799</v>
      </c>
      <c r="H19" s="75">
        <v>1209</v>
      </c>
    </row>
    <row r="20" spans="1:8" ht="32.25" thickBot="1" x14ac:dyDescent="0.4">
      <c r="A20" s="79" t="s">
        <v>29</v>
      </c>
      <c r="B20" s="79"/>
      <c r="C20" s="24" t="s">
        <v>30</v>
      </c>
      <c r="D20" s="32" t="s">
        <v>38</v>
      </c>
      <c r="E20" s="33" t="s">
        <v>68</v>
      </c>
      <c r="F20" s="34">
        <v>0</v>
      </c>
      <c r="G20" s="35">
        <v>14507613</v>
      </c>
      <c r="H20" s="74">
        <v>1210</v>
      </c>
    </row>
    <row r="21" spans="1:8" ht="21.75" thickBot="1" x14ac:dyDescent="0.4">
      <c r="A21" s="7"/>
      <c r="B21" s="7"/>
      <c r="C21" s="7"/>
      <c r="D21" s="15"/>
      <c r="E21" s="15"/>
      <c r="F21" s="26" t="s">
        <v>67</v>
      </c>
      <c r="G21" s="27">
        <f>SUM(G19:G20)</f>
        <v>367593412</v>
      </c>
      <c r="H21" s="74"/>
    </row>
    <row r="22" spans="1:8" ht="32.25" thickBot="1" x14ac:dyDescent="0.4">
      <c r="A22" s="79" t="s">
        <v>29</v>
      </c>
      <c r="B22" s="79"/>
      <c r="C22" s="7" t="s">
        <v>30</v>
      </c>
      <c r="D22" s="7" t="s">
        <v>49</v>
      </c>
      <c r="E22" s="70" t="s">
        <v>69</v>
      </c>
      <c r="F22" s="20">
        <v>0</v>
      </c>
      <c r="G22" s="22">
        <v>35712</v>
      </c>
      <c r="H22" s="74">
        <v>1211</v>
      </c>
    </row>
    <row r="23" spans="1:8" ht="32.25" thickBot="1" x14ac:dyDescent="0.4">
      <c r="A23" s="79" t="s">
        <v>29</v>
      </c>
      <c r="B23" s="79"/>
      <c r="C23" s="7" t="s">
        <v>30</v>
      </c>
      <c r="D23" s="36" t="s">
        <v>39</v>
      </c>
      <c r="E23" s="71" t="s">
        <v>70</v>
      </c>
      <c r="F23" s="41">
        <v>0</v>
      </c>
      <c r="G23" s="72">
        <v>1236619</v>
      </c>
      <c r="H23" s="74">
        <v>1212</v>
      </c>
    </row>
    <row r="24" spans="1:8" ht="30" customHeight="1" x14ac:dyDescent="0.25">
      <c r="A24" s="79" t="s">
        <v>29</v>
      </c>
      <c r="B24" s="79"/>
      <c r="C24" s="24" t="s">
        <v>30</v>
      </c>
      <c r="D24" s="28" t="s">
        <v>36</v>
      </c>
      <c r="E24" s="29" t="s">
        <v>71</v>
      </c>
      <c r="F24" s="30">
        <v>0</v>
      </c>
      <c r="G24" s="31">
        <v>2736</v>
      </c>
      <c r="H24" s="21"/>
    </row>
    <row r="25" spans="1:8" ht="30" customHeight="1" x14ac:dyDescent="0.25">
      <c r="A25" s="79" t="s">
        <v>29</v>
      </c>
      <c r="B25" s="79"/>
      <c r="C25" s="24" t="s">
        <v>30</v>
      </c>
      <c r="D25" s="39" t="s">
        <v>36</v>
      </c>
      <c r="E25" s="37" t="s">
        <v>71</v>
      </c>
      <c r="F25" s="38">
        <v>0</v>
      </c>
      <c r="G25" s="40">
        <v>6695</v>
      </c>
      <c r="H25" s="21"/>
    </row>
    <row r="26" spans="1:8" ht="30" customHeight="1" x14ac:dyDescent="0.25">
      <c r="A26" s="79" t="s">
        <v>29</v>
      </c>
      <c r="B26" s="79"/>
      <c r="C26" s="24" t="s">
        <v>30</v>
      </c>
      <c r="D26" s="39" t="s">
        <v>36</v>
      </c>
      <c r="E26" s="37" t="s">
        <v>71</v>
      </c>
      <c r="F26" s="38">
        <v>0</v>
      </c>
      <c r="G26" s="40">
        <v>8258</v>
      </c>
      <c r="H26" s="21"/>
    </row>
    <row r="27" spans="1:8" ht="30" customHeight="1" x14ac:dyDescent="0.25">
      <c r="A27" s="79" t="s">
        <v>29</v>
      </c>
      <c r="B27" s="79"/>
      <c r="C27" s="24" t="s">
        <v>30</v>
      </c>
      <c r="D27" s="39" t="s">
        <v>36</v>
      </c>
      <c r="E27" s="37" t="s">
        <v>71</v>
      </c>
      <c r="F27" s="38">
        <v>0</v>
      </c>
      <c r="G27" s="40">
        <v>8554</v>
      </c>
      <c r="H27" s="21"/>
    </row>
    <row r="28" spans="1:8" ht="30" customHeight="1" x14ac:dyDescent="0.25">
      <c r="A28" s="79" t="s">
        <v>29</v>
      </c>
      <c r="B28" s="79"/>
      <c r="C28" s="24" t="s">
        <v>30</v>
      </c>
      <c r="D28" s="39" t="s">
        <v>36</v>
      </c>
      <c r="E28" s="37" t="s">
        <v>71</v>
      </c>
      <c r="F28" s="38">
        <v>0</v>
      </c>
      <c r="G28" s="40">
        <v>9609</v>
      </c>
      <c r="H28" s="21"/>
    </row>
    <row r="29" spans="1:8" ht="30" customHeight="1" x14ac:dyDescent="0.25">
      <c r="A29" s="79" t="s">
        <v>29</v>
      </c>
      <c r="B29" s="79"/>
      <c r="C29" s="24" t="s">
        <v>30</v>
      </c>
      <c r="D29" s="39" t="s">
        <v>36</v>
      </c>
      <c r="E29" s="37" t="s">
        <v>71</v>
      </c>
      <c r="F29" s="38">
        <v>0</v>
      </c>
      <c r="G29" s="40">
        <v>9684</v>
      </c>
      <c r="H29" s="21"/>
    </row>
    <row r="30" spans="1:8" ht="30" customHeight="1" x14ac:dyDescent="0.25">
      <c r="A30" s="79" t="s">
        <v>29</v>
      </c>
      <c r="B30" s="79"/>
      <c r="C30" s="24" t="s">
        <v>30</v>
      </c>
      <c r="D30" s="39" t="s">
        <v>36</v>
      </c>
      <c r="E30" s="37" t="s">
        <v>71</v>
      </c>
      <c r="F30" s="38">
        <v>0</v>
      </c>
      <c r="G30" s="40">
        <v>9850</v>
      </c>
      <c r="H30" s="21"/>
    </row>
    <row r="31" spans="1:8" ht="30" customHeight="1" x14ac:dyDescent="0.25">
      <c r="A31" s="79" t="s">
        <v>29</v>
      </c>
      <c r="B31" s="79"/>
      <c r="C31" s="24" t="s">
        <v>30</v>
      </c>
      <c r="D31" s="39" t="s">
        <v>36</v>
      </c>
      <c r="E31" s="37" t="s">
        <v>71</v>
      </c>
      <c r="F31" s="38">
        <v>0</v>
      </c>
      <c r="G31" s="40">
        <v>10422</v>
      </c>
      <c r="H31" s="21"/>
    </row>
    <row r="32" spans="1:8" ht="30" customHeight="1" x14ac:dyDescent="0.25">
      <c r="A32" s="79" t="s">
        <v>29</v>
      </c>
      <c r="B32" s="79"/>
      <c r="C32" s="24" t="s">
        <v>30</v>
      </c>
      <c r="D32" s="39" t="s">
        <v>36</v>
      </c>
      <c r="E32" s="37" t="s">
        <v>71</v>
      </c>
      <c r="F32" s="38">
        <v>0</v>
      </c>
      <c r="G32" s="40">
        <v>10789</v>
      </c>
      <c r="H32" s="21"/>
    </row>
    <row r="33" spans="1:8" ht="30" customHeight="1" x14ac:dyDescent="0.25">
      <c r="A33" s="79" t="s">
        <v>29</v>
      </c>
      <c r="B33" s="79"/>
      <c r="C33" s="24" t="s">
        <v>30</v>
      </c>
      <c r="D33" s="39" t="s">
        <v>36</v>
      </c>
      <c r="E33" s="37" t="s">
        <v>71</v>
      </c>
      <c r="F33" s="38">
        <v>0</v>
      </c>
      <c r="G33" s="40">
        <v>10928</v>
      </c>
      <c r="H33" s="21"/>
    </row>
    <row r="34" spans="1:8" ht="30" customHeight="1" x14ac:dyDescent="0.25">
      <c r="A34" s="79" t="s">
        <v>29</v>
      </c>
      <c r="B34" s="79"/>
      <c r="C34" s="24" t="s">
        <v>30</v>
      </c>
      <c r="D34" s="39" t="s">
        <v>36</v>
      </c>
      <c r="E34" s="37" t="s">
        <v>71</v>
      </c>
      <c r="F34" s="38">
        <v>0</v>
      </c>
      <c r="G34" s="40">
        <v>10947</v>
      </c>
      <c r="H34" s="21"/>
    </row>
    <row r="35" spans="1:8" ht="30" customHeight="1" x14ac:dyDescent="0.25">
      <c r="A35" s="79" t="s">
        <v>29</v>
      </c>
      <c r="B35" s="79"/>
      <c r="C35" s="24" t="s">
        <v>30</v>
      </c>
      <c r="D35" s="39" t="s">
        <v>36</v>
      </c>
      <c r="E35" s="37" t="s">
        <v>71</v>
      </c>
      <c r="F35" s="38">
        <v>0</v>
      </c>
      <c r="G35" s="40">
        <v>10982</v>
      </c>
      <c r="H35" s="21"/>
    </row>
    <row r="36" spans="1:8" ht="30" customHeight="1" x14ac:dyDescent="0.25">
      <c r="A36" s="79" t="s">
        <v>29</v>
      </c>
      <c r="B36" s="79"/>
      <c r="C36" s="24" t="s">
        <v>30</v>
      </c>
      <c r="D36" s="39" t="s">
        <v>36</v>
      </c>
      <c r="E36" s="37" t="s">
        <v>71</v>
      </c>
      <c r="F36" s="38">
        <v>0</v>
      </c>
      <c r="G36" s="40">
        <v>11058</v>
      </c>
      <c r="H36" s="21"/>
    </row>
    <row r="37" spans="1:8" ht="30" customHeight="1" x14ac:dyDescent="0.25">
      <c r="A37" s="79" t="s">
        <v>29</v>
      </c>
      <c r="B37" s="79"/>
      <c r="C37" s="24" t="s">
        <v>30</v>
      </c>
      <c r="D37" s="39" t="s">
        <v>36</v>
      </c>
      <c r="E37" s="37" t="s">
        <v>71</v>
      </c>
      <c r="F37" s="38">
        <v>0</v>
      </c>
      <c r="G37" s="40">
        <v>11152</v>
      </c>
      <c r="H37" s="21"/>
    </row>
    <row r="38" spans="1:8" ht="30" customHeight="1" x14ac:dyDescent="0.25">
      <c r="A38" s="79" t="s">
        <v>29</v>
      </c>
      <c r="B38" s="79"/>
      <c r="C38" s="24" t="s">
        <v>30</v>
      </c>
      <c r="D38" s="39" t="s">
        <v>36</v>
      </c>
      <c r="E38" s="37" t="s">
        <v>71</v>
      </c>
      <c r="F38" s="38">
        <v>0</v>
      </c>
      <c r="G38" s="40">
        <v>11530</v>
      </c>
      <c r="H38" s="21"/>
    </row>
    <row r="39" spans="1:8" ht="30" customHeight="1" x14ac:dyDescent="0.25">
      <c r="A39" s="79" t="s">
        <v>29</v>
      </c>
      <c r="B39" s="79"/>
      <c r="C39" s="24" t="s">
        <v>30</v>
      </c>
      <c r="D39" s="39" t="s">
        <v>36</v>
      </c>
      <c r="E39" s="37" t="s">
        <v>71</v>
      </c>
      <c r="F39" s="38">
        <v>0</v>
      </c>
      <c r="G39" s="40">
        <v>11991</v>
      </c>
      <c r="H39" s="21"/>
    </row>
    <row r="40" spans="1:8" ht="30" customHeight="1" x14ac:dyDescent="0.25">
      <c r="A40" s="79" t="s">
        <v>29</v>
      </c>
      <c r="B40" s="79"/>
      <c r="C40" s="24" t="s">
        <v>30</v>
      </c>
      <c r="D40" s="39" t="s">
        <v>36</v>
      </c>
      <c r="E40" s="37" t="s">
        <v>71</v>
      </c>
      <c r="F40" s="38">
        <v>0</v>
      </c>
      <c r="G40" s="40">
        <v>12137</v>
      </c>
      <c r="H40" s="21"/>
    </row>
    <row r="41" spans="1:8" ht="30" customHeight="1" x14ac:dyDescent="0.25">
      <c r="A41" s="79" t="s">
        <v>29</v>
      </c>
      <c r="B41" s="79"/>
      <c r="C41" s="24" t="s">
        <v>30</v>
      </c>
      <c r="D41" s="39" t="s">
        <v>36</v>
      </c>
      <c r="E41" s="37" t="s">
        <v>71</v>
      </c>
      <c r="F41" s="38">
        <v>0</v>
      </c>
      <c r="G41" s="40">
        <v>12512</v>
      </c>
      <c r="H41" s="21"/>
    </row>
    <row r="42" spans="1:8" ht="30" customHeight="1" x14ac:dyDescent="0.25">
      <c r="A42" s="79" t="s">
        <v>29</v>
      </c>
      <c r="B42" s="79"/>
      <c r="C42" s="24" t="s">
        <v>30</v>
      </c>
      <c r="D42" s="39" t="s">
        <v>36</v>
      </c>
      <c r="E42" s="37" t="s">
        <v>71</v>
      </c>
      <c r="F42" s="38">
        <v>0</v>
      </c>
      <c r="G42" s="40">
        <v>12741</v>
      </c>
      <c r="H42" s="21"/>
    </row>
    <row r="43" spans="1:8" ht="30" customHeight="1" x14ac:dyDescent="0.25">
      <c r="A43" s="79" t="s">
        <v>29</v>
      </c>
      <c r="B43" s="79"/>
      <c r="C43" s="24" t="s">
        <v>30</v>
      </c>
      <c r="D43" s="39" t="s">
        <v>36</v>
      </c>
      <c r="E43" s="37" t="s">
        <v>71</v>
      </c>
      <c r="F43" s="38">
        <v>0</v>
      </c>
      <c r="G43" s="40">
        <v>113548</v>
      </c>
      <c r="H43" s="21"/>
    </row>
    <row r="44" spans="1:8" ht="30" customHeight="1" x14ac:dyDescent="0.25">
      <c r="A44" s="79" t="s">
        <v>29</v>
      </c>
      <c r="B44" s="79"/>
      <c r="C44" s="24" t="s">
        <v>30</v>
      </c>
      <c r="D44" s="39" t="s">
        <v>36</v>
      </c>
      <c r="E44" s="37" t="s">
        <v>71</v>
      </c>
      <c r="F44" s="38">
        <v>0</v>
      </c>
      <c r="G44" s="40">
        <v>117138</v>
      </c>
      <c r="H44" s="21"/>
    </row>
    <row r="45" spans="1:8" ht="30" customHeight="1" x14ac:dyDescent="0.25">
      <c r="A45" s="79" t="s">
        <v>29</v>
      </c>
      <c r="B45" s="79"/>
      <c r="C45" s="24" t="s">
        <v>30</v>
      </c>
      <c r="D45" s="39" t="s">
        <v>36</v>
      </c>
      <c r="E45" s="37" t="s">
        <v>71</v>
      </c>
      <c r="F45" s="38">
        <v>0</v>
      </c>
      <c r="G45" s="40">
        <v>122101</v>
      </c>
      <c r="H45" s="21"/>
    </row>
    <row r="46" spans="1:8" ht="30" customHeight="1" x14ac:dyDescent="0.25">
      <c r="A46" s="79" t="s">
        <v>29</v>
      </c>
      <c r="B46" s="79"/>
      <c r="C46" s="24" t="s">
        <v>30</v>
      </c>
      <c r="D46" s="39" t="s">
        <v>36</v>
      </c>
      <c r="E46" s="37" t="s">
        <v>71</v>
      </c>
      <c r="F46" s="38">
        <v>0</v>
      </c>
      <c r="G46" s="40">
        <v>122564</v>
      </c>
      <c r="H46" s="21"/>
    </row>
    <row r="47" spans="1:8" ht="30" customHeight="1" x14ac:dyDescent="0.25">
      <c r="A47" s="79" t="s">
        <v>29</v>
      </c>
      <c r="B47" s="79"/>
      <c r="C47" s="24" t="s">
        <v>30</v>
      </c>
      <c r="D47" s="39" t="s">
        <v>36</v>
      </c>
      <c r="E47" s="37" t="s">
        <v>71</v>
      </c>
      <c r="F47" s="38">
        <v>0</v>
      </c>
      <c r="G47" s="40">
        <v>124950</v>
      </c>
      <c r="H47" s="21"/>
    </row>
    <row r="48" spans="1:8" ht="30" customHeight="1" x14ac:dyDescent="0.25">
      <c r="A48" s="79" t="s">
        <v>29</v>
      </c>
      <c r="B48" s="79"/>
      <c r="C48" s="24" t="s">
        <v>30</v>
      </c>
      <c r="D48" s="39" t="s">
        <v>36</v>
      </c>
      <c r="E48" s="37" t="s">
        <v>71</v>
      </c>
      <c r="F48" s="38">
        <v>0</v>
      </c>
      <c r="G48" s="40">
        <v>127189</v>
      </c>
      <c r="H48" s="21"/>
    </row>
    <row r="49" spans="1:8" ht="30" customHeight="1" x14ac:dyDescent="0.25">
      <c r="A49" s="79" t="s">
        <v>29</v>
      </c>
      <c r="B49" s="79"/>
      <c r="C49" s="24" t="s">
        <v>30</v>
      </c>
      <c r="D49" s="39" t="s">
        <v>36</v>
      </c>
      <c r="E49" s="37" t="s">
        <v>71</v>
      </c>
      <c r="F49" s="38">
        <v>0</v>
      </c>
      <c r="G49" s="40">
        <v>135441</v>
      </c>
      <c r="H49" s="21"/>
    </row>
    <row r="50" spans="1:8" ht="30" customHeight="1" x14ac:dyDescent="0.25">
      <c r="A50" s="79" t="s">
        <v>29</v>
      </c>
      <c r="B50" s="79"/>
      <c r="C50" s="24" t="s">
        <v>30</v>
      </c>
      <c r="D50" s="39" t="s">
        <v>36</v>
      </c>
      <c r="E50" s="37" t="s">
        <v>71</v>
      </c>
      <c r="F50" s="38">
        <v>0</v>
      </c>
      <c r="G50" s="40">
        <v>137720</v>
      </c>
      <c r="H50" s="21"/>
    </row>
    <row r="51" spans="1:8" ht="30" customHeight="1" x14ac:dyDescent="0.25">
      <c r="A51" s="79" t="s">
        <v>29</v>
      </c>
      <c r="B51" s="79"/>
      <c r="C51" s="24" t="s">
        <v>30</v>
      </c>
      <c r="D51" s="39" t="s">
        <v>36</v>
      </c>
      <c r="E51" s="37" t="s">
        <v>71</v>
      </c>
      <c r="F51" s="38">
        <v>0</v>
      </c>
      <c r="G51" s="40">
        <v>151858</v>
      </c>
      <c r="H51" s="21"/>
    </row>
    <row r="52" spans="1:8" ht="30" customHeight="1" x14ac:dyDescent="0.25">
      <c r="A52" s="79" t="s">
        <v>29</v>
      </c>
      <c r="B52" s="79"/>
      <c r="C52" s="24" t="s">
        <v>30</v>
      </c>
      <c r="D52" s="39" t="s">
        <v>36</v>
      </c>
      <c r="E52" s="37" t="s">
        <v>71</v>
      </c>
      <c r="F52" s="38">
        <v>0</v>
      </c>
      <c r="G52" s="40">
        <v>187267</v>
      </c>
      <c r="H52" s="21"/>
    </row>
    <row r="53" spans="1:8" ht="30" customHeight="1" x14ac:dyDescent="0.25">
      <c r="A53" s="79" t="s">
        <v>29</v>
      </c>
      <c r="B53" s="79"/>
      <c r="C53" s="24" t="s">
        <v>30</v>
      </c>
      <c r="D53" s="39" t="s">
        <v>36</v>
      </c>
      <c r="E53" s="37" t="s">
        <v>71</v>
      </c>
      <c r="F53" s="38">
        <v>0</v>
      </c>
      <c r="G53" s="40">
        <v>224446</v>
      </c>
      <c r="H53" s="21"/>
    </row>
    <row r="54" spans="1:8" ht="30" customHeight="1" x14ac:dyDescent="0.25">
      <c r="A54" s="79" t="s">
        <v>29</v>
      </c>
      <c r="B54" s="79"/>
      <c r="C54" s="24" t="s">
        <v>30</v>
      </c>
      <c r="D54" s="39" t="s">
        <v>36</v>
      </c>
      <c r="E54" s="37" t="s">
        <v>71</v>
      </c>
      <c r="F54" s="38">
        <v>0</v>
      </c>
      <c r="G54" s="40">
        <v>301965</v>
      </c>
      <c r="H54" s="21"/>
    </row>
    <row r="55" spans="1:8" ht="30" customHeight="1" x14ac:dyDescent="0.25">
      <c r="A55" s="79" t="s">
        <v>29</v>
      </c>
      <c r="B55" s="79"/>
      <c r="C55" s="24" t="s">
        <v>30</v>
      </c>
      <c r="D55" s="39" t="s">
        <v>36</v>
      </c>
      <c r="E55" s="37" t="s">
        <v>71</v>
      </c>
      <c r="F55" s="38">
        <v>0</v>
      </c>
      <c r="G55" s="40">
        <v>363616</v>
      </c>
      <c r="H55" s="21"/>
    </row>
    <row r="56" spans="1:8" ht="30" customHeight="1" x14ac:dyDescent="0.25">
      <c r="A56" s="79" t="s">
        <v>29</v>
      </c>
      <c r="B56" s="79"/>
      <c r="C56" s="24" t="s">
        <v>30</v>
      </c>
      <c r="D56" s="39" t="s">
        <v>36</v>
      </c>
      <c r="E56" s="37" t="s">
        <v>71</v>
      </c>
      <c r="F56" s="38">
        <v>0</v>
      </c>
      <c r="G56" s="40">
        <v>37782</v>
      </c>
      <c r="H56" s="21"/>
    </row>
    <row r="57" spans="1:8" ht="30" customHeight="1" x14ac:dyDescent="0.25">
      <c r="A57" s="79" t="s">
        <v>29</v>
      </c>
      <c r="B57" s="79"/>
      <c r="C57" s="24" t="s">
        <v>30</v>
      </c>
      <c r="D57" s="39" t="s">
        <v>36</v>
      </c>
      <c r="E57" s="37" t="s">
        <v>71</v>
      </c>
      <c r="F57" s="38">
        <v>0</v>
      </c>
      <c r="G57" s="40">
        <v>38191</v>
      </c>
      <c r="H57" s="21"/>
    </row>
    <row r="58" spans="1:8" ht="30" customHeight="1" x14ac:dyDescent="0.25">
      <c r="A58" s="79" t="s">
        <v>29</v>
      </c>
      <c r="B58" s="79"/>
      <c r="C58" s="24" t="s">
        <v>30</v>
      </c>
      <c r="D58" s="39" t="s">
        <v>36</v>
      </c>
      <c r="E58" s="37" t="s">
        <v>71</v>
      </c>
      <c r="F58" s="38">
        <v>0</v>
      </c>
      <c r="G58" s="40">
        <v>39313</v>
      </c>
      <c r="H58" s="21"/>
    </row>
    <row r="59" spans="1:8" ht="30" customHeight="1" x14ac:dyDescent="0.25">
      <c r="A59" s="79" t="s">
        <v>29</v>
      </c>
      <c r="B59" s="79"/>
      <c r="C59" s="24" t="s">
        <v>30</v>
      </c>
      <c r="D59" s="39" t="s">
        <v>36</v>
      </c>
      <c r="E59" s="37" t="s">
        <v>71</v>
      </c>
      <c r="F59" s="38">
        <v>0</v>
      </c>
      <c r="G59" s="40">
        <v>41313</v>
      </c>
      <c r="H59" s="21"/>
    </row>
    <row r="60" spans="1:8" ht="30" customHeight="1" x14ac:dyDescent="0.25">
      <c r="A60" s="79" t="s">
        <v>29</v>
      </c>
      <c r="B60" s="79"/>
      <c r="C60" s="24" t="s">
        <v>30</v>
      </c>
      <c r="D60" s="39" t="s">
        <v>36</v>
      </c>
      <c r="E60" s="37" t="s">
        <v>71</v>
      </c>
      <c r="F60" s="38">
        <v>0</v>
      </c>
      <c r="G60" s="40">
        <v>41741</v>
      </c>
      <c r="H60" s="21"/>
    </row>
    <row r="61" spans="1:8" ht="30" customHeight="1" x14ac:dyDescent="0.25">
      <c r="A61" s="79" t="s">
        <v>29</v>
      </c>
      <c r="B61" s="79"/>
      <c r="C61" s="24" t="s">
        <v>30</v>
      </c>
      <c r="D61" s="39" t="s">
        <v>36</v>
      </c>
      <c r="E61" s="37" t="s">
        <v>71</v>
      </c>
      <c r="F61" s="38">
        <v>0</v>
      </c>
      <c r="G61" s="40">
        <v>42709</v>
      </c>
      <c r="H61" s="21"/>
    </row>
    <row r="62" spans="1:8" ht="30" customHeight="1" x14ac:dyDescent="0.25">
      <c r="A62" s="79" t="s">
        <v>29</v>
      </c>
      <c r="B62" s="79"/>
      <c r="C62" s="24" t="s">
        <v>30</v>
      </c>
      <c r="D62" s="39" t="s">
        <v>36</v>
      </c>
      <c r="E62" s="37" t="s">
        <v>71</v>
      </c>
      <c r="F62" s="38">
        <v>0</v>
      </c>
      <c r="G62" s="40">
        <v>43114</v>
      </c>
      <c r="H62" s="21"/>
    </row>
    <row r="63" spans="1:8" ht="30" customHeight="1" x14ac:dyDescent="0.25">
      <c r="A63" s="79" t="s">
        <v>29</v>
      </c>
      <c r="B63" s="79"/>
      <c r="C63" s="24" t="s">
        <v>30</v>
      </c>
      <c r="D63" s="39" t="s">
        <v>36</v>
      </c>
      <c r="E63" s="37" t="s">
        <v>71</v>
      </c>
      <c r="F63" s="38">
        <v>0</v>
      </c>
      <c r="G63" s="40">
        <v>44250</v>
      </c>
      <c r="H63" s="21"/>
    </row>
    <row r="64" spans="1:8" ht="30" customHeight="1" x14ac:dyDescent="0.25">
      <c r="A64" s="79" t="s">
        <v>29</v>
      </c>
      <c r="B64" s="79"/>
      <c r="C64" s="24" t="s">
        <v>30</v>
      </c>
      <c r="D64" s="39" t="s">
        <v>36</v>
      </c>
      <c r="E64" s="37" t="s">
        <v>71</v>
      </c>
      <c r="F64" s="38">
        <v>0</v>
      </c>
      <c r="G64" s="40">
        <v>47083</v>
      </c>
      <c r="H64" s="21"/>
    </row>
    <row r="65" spans="1:8" ht="30" customHeight="1" x14ac:dyDescent="0.25">
      <c r="A65" s="79" t="s">
        <v>29</v>
      </c>
      <c r="B65" s="79"/>
      <c r="C65" s="24" t="s">
        <v>30</v>
      </c>
      <c r="D65" s="39" t="s">
        <v>36</v>
      </c>
      <c r="E65" s="37" t="s">
        <v>71</v>
      </c>
      <c r="F65" s="38">
        <v>0</v>
      </c>
      <c r="G65" s="40">
        <v>47993</v>
      </c>
      <c r="H65" s="21"/>
    </row>
    <row r="66" spans="1:8" ht="30" customHeight="1" x14ac:dyDescent="0.25">
      <c r="A66" s="79" t="s">
        <v>29</v>
      </c>
      <c r="B66" s="79"/>
      <c r="C66" s="24" t="s">
        <v>30</v>
      </c>
      <c r="D66" s="39" t="s">
        <v>36</v>
      </c>
      <c r="E66" s="37" t="s">
        <v>71</v>
      </c>
      <c r="F66" s="38">
        <v>0</v>
      </c>
      <c r="G66" s="40">
        <v>48496</v>
      </c>
      <c r="H66" s="21"/>
    </row>
    <row r="67" spans="1:8" ht="30" customHeight="1" x14ac:dyDescent="0.25">
      <c r="A67" s="79" t="s">
        <v>29</v>
      </c>
      <c r="B67" s="79"/>
      <c r="C67" s="24" t="s">
        <v>30</v>
      </c>
      <c r="D67" s="39" t="s">
        <v>36</v>
      </c>
      <c r="E67" s="37" t="s">
        <v>71</v>
      </c>
      <c r="F67" s="38">
        <v>0</v>
      </c>
      <c r="G67" s="40">
        <v>52685</v>
      </c>
      <c r="H67" s="21"/>
    </row>
    <row r="68" spans="1:8" ht="30" customHeight="1" x14ac:dyDescent="0.25">
      <c r="A68" s="79" t="s">
        <v>29</v>
      </c>
      <c r="B68" s="79"/>
      <c r="C68" s="24" t="s">
        <v>30</v>
      </c>
      <c r="D68" s="39" t="s">
        <v>36</v>
      </c>
      <c r="E68" s="37" t="s">
        <v>71</v>
      </c>
      <c r="F68" s="38">
        <v>0</v>
      </c>
      <c r="G68" s="40">
        <v>53254</v>
      </c>
      <c r="H68" s="21"/>
    </row>
    <row r="69" spans="1:8" ht="30" customHeight="1" x14ac:dyDescent="0.25">
      <c r="A69" s="79" t="s">
        <v>29</v>
      </c>
      <c r="B69" s="79"/>
      <c r="C69" s="24" t="s">
        <v>30</v>
      </c>
      <c r="D69" s="39" t="s">
        <v>36</v>
      </c>
      <c r="E69" s="37" t="s">
        <v>71</v>
      </c>
      <c r="F69" s="38">
        <v>0</v>
      </c>
      <c r="G69" s="40">
        <v>55983</v>
      </c>
      <c r="H69" s="21"/>
    </row>
    <row r="70" spans="1:8" ht="30" customHeight="1" x14ac:dyDescent="0.25">
      <c r="A70" s="79" t="s">
        <v>29</v>
      </c>
      <c r="B70" s="79"/>
      <c r="C70" s="24" t="s">
        <v>30</v>
      </c>
      <c r="D70" s="39" t="s">
        <v>36</v>
      </c>
      <c r="E70" s="37" t="s">
        <v>71</v>
      </c>
      <c r="F70" s="38">
        <v>0</v>
      </c>
      <c r="G70" s="40">
        <v>56391</v>
      </c>
      <c r="H70" s="21"/>
    </row>
    <row r="71" spans="1:8" ht="30" customHeight="1" x14ac:dyDescent="0.25">
      <c r="A71" s="79" t="s">
        <v>29</v>
      </c>
      <c r="B71" s="79"/>
      <c r="C71" s="24" t="s">
        <v>30</v>
      </c>
      <c r="D71" s="39" t="s">
        <v>36</v>
      </c>
      <c r="E71" s="37" t="s">
        <v>71</v>
      </c>
      <c r="F71" s="38">
        <v>0</v>
      </c>
      <c r="G71" s="40">
        <v>56795</v>
      </c>
      <c r="H71" s="21"/>
    </row>
    <row r="72" spans="1:8" ht="30" customHeight="1" x14ac:dyDescent="0.25">
      <c r="A72" s="79" t="s">
        <v>29</v>
      </c>
      <c r="B72" s="79"/>
      <c r="C72" s="24" t="s">
        <v>30</v>
      </c>
      <c r="D72" s="39" t="s">
        <v>36</v>
      </c>
      <c r="E72" s="37" t="s">
        <v>71</v>
      </c>
      <c r="F72" s="38">
        <v>0</v>
      </c>
      <c r="G72" s="40">
        <v>58953</v>
      </c>
      <c r="H72" s="21"/>
    </row>
    <row r="73" spans="1:8" ht="30" customHeight="1" x14ac:dyDescent="0.25">
      <c r="A73" s="79" t="s">
        <v>29</v>
      </c>
      <c r="B73" s="79"/>
      <c r="C73" s="24" t="s">
        <v>30</v>
      </c>
      <c r="D73" s="39" t="s">
        <v>36</v>
      </c>
      <c r="E73" s="37" t="s">
        <v>71</v>
      </c>
      <c r="F73" s="38">
        <v>0</v>
      </c>
      <c r="G73" s="40">
        <v>59976</v>
      </c>
      <c r="H73" s="21"/>
    </row>
    <row r="74" spans="1:8" ht="30" customHeight="1" x14ac:dyDescent="0.25">
      <c r="A74" s="79" t="s">
        <v>29</v>
      </c>
      <c r="B74" s="79"/>
      <c r="C74" s="24" t="s">
        <v>30</v>
      </c>
      <c r="D74" s="39" t="s">
        <v>36</v>
      </c>
      <c r="E74" s="37" t="s">
        <v>71</v>
      </c>
      <c r="F74" s="38">
        <v>0</v>
      </c>
      <c r="G74" s="40">
        <v>64786</v>
      </c>
      <c r="H74" s="21"/>
    </row>
    <row r="75" spans="1:8" ht="30" customHeight="1" x14ac:dyDescent="0.25">
      <c r="A75" s="79" t="s">
        <v>29</v>
      </c>
      <c r="B75" s="79"/>
      <c r="C75" s="24" t="s">
        <v>30</v>
      </c>
      <c r="D75" s="39" t="s">
        <v>36</v>
      </c>
      <c r="E75" s="37" t="s">
        <v>71</v>
      </c>
      <c r="F75" s="38">
        <v>0</v>
      </c>
      <c r="G75" s="40">
        <v>65714</v>
      </c>
      <c r="H75" s="21"/>
    </row>
    <row r="76" spans="1:8" ht="30" customHeight="1" x14ac:dyDescent="0.25">
      <c r="A76" s="79" t="s">
        <v>29</v>
      </c>
      <c r="B76" s="79"/>
      <c r="C76" s="24" t="s">
        <v>30</v>
      </c>
      <c r="D76" s="39" t="s">
        <v>36</v>
      </c>
      <c r="E76" s="37" t="s">
        <v>71</v>
      </c>
      <c r="F76" s="38">
        <v>0</v>
      </c>
      <c r="G76" s="40">
        <v>66244</v>
      </c>
      <c r="H76" s="21"/>
    </row>
    <row r="77" spans="1:8" ht="30" customHeight="1" x14ac:dyDescent="0.25">
      <c r="A77" s="79" t="s">
        <v>29</v>
      </c>
      <c r="B77" s="79"/>
      <c r="C77" s="24" t="s">
        <v>30</v>
      </c>
      <c r="D77" s="39" t="s">
        <v>36</v>
      </c>
      <c r="E77" s="37" t="s">
        <v>71</v>
      </c>
      <c r="F77" s="38">
        <v>0</v>
      </c>
      <c r="G77" s="40">
        <v>67809</v>
      </c>
      <c r="H77" s="21"/>
    </row>
    <row r="78" spans="1:8" ht="30" customHeight="1" x14ac:dyDescent="0.25">
      <c r="A78" s="79" t="s">
        <v>29</v>
      </c>
      <c r="B78" s="79"/>
      <c r="C78" s="24" t="s">
        <v>30</v>
      </c>
      <c r="D78" s="39" t="s">
        <v>36</v>
      </c>
      <c r="E78" s="37" t="s">
        <v>71</v>
      </c>
      <c r="F78" s="38">
        <v>0</v>
      </c>
      <c r="G78" s="40">
        <v>70644</v>
      </c>
      <c r="H78" s="21"/>
    </row>
    <row r="79" spans="1:8" ht="30" customHeight="1" x14ac:dyDescent="0.25">
      <c r="A79" s="79" t="s">
        <v>29</v>
      </c>
      <c r="B79" s="79"/>
      <c r="C79" s="24" t="s">
        <v>30</v>
      </c>
      <c r="D79" s="39" t="s">
        <v>36</v>
      </c>
      <c r="E79" s="37" t="s">
        <v>71</v>
      </c>
      <c r="F79" s="38">
        <v>0</v>
      </c>
      <c r="G79" s="40">
        <v>71051</v>
      </c>
      <c r="H79" s="21"/>
    </row>
    <row r="80" spans="1:8" ht="30" customHeight="1" x14ac:dyDescent="0.25">
      <c r="A80" s="79" t="s">
        <v>29</v>
      </c>
      <c r="B80" s="79"/>
      <c r="C80" s="24" t="s">
        <v>30</v>
      </c>
      <c r="D80" s="39" t="s">
        <v>36</v>
      </c>
      <c r="E80" s="37" t="s">
        <v>71</v>
      </c>
      <c r="F80" s="38">
        <v>0</v>
      </c>
      <c r="G80" s="40">
        <v>71138</v>
      </c>
      <c r="H80" s="21"/>
    </row>
    <row r="81" spans="1:8" ht="30" customHeight="1" x14ac:dyDescent="0.25">
      <c r="A81" s="79" t="s">
        <v>29</v>
      </c>
      <c r="B81" s="79"/>
      <c r="C81" s="24" t="s">
        <v>30</v>
      </c>
      <c r="D81" s="39" t="s">
        <v>36</v>
      </c>
      <c r="E81" s="37" t="s">
        <v>71</v>
      </c>
      <c r="F81" s="38">
        <v>0</v>
      </c>
      <c r="G81" s="40">
        <v>93672</v>
      </c>
      <c r="H81" s="21"/>
    </row>
    <row r="82" spans="1:8" ht="30" customHeight="1" x14ac:dyDescent="0.25">
      <c r="A82" s="79" t="s">
        <v>29</v>
      </c>
      <c r="B82" s="79"/>
      <c r="C82" s="24" t="s">
        <v>30</v>
      </c>
      <c r="D82" s="39" t="s">
        <v>36</v>
      </c>
      <c r="E82" s="37" t="s">
        <v>71</v>
      </c>
      <c r="F82" s="38">
        <v>0</v>
      </c>
      <c r="G82" s="40">
        <v>94758</v>
      </c>
      <c r="H82" s="21"/>
    </row>
    <row r="83" spans="1:8" ht="30" customHeight="1" x14ac:dyDescent="0.25">
      <c r="A83" s="79" t="s">
        <v>29</v>
      </c>
      <c r="B83" s="79"/>
      <c r="C83" s="24" t="s">
        <v>30</v>
      </c>
      <c r="D83" s="39" t="s">
        <v>36</v>
      </c>
      <c r="E83" s="37" t="s">
        <v>71</v>
      </c>
      <c r="F83" s="38">
        <v>0</v>
      </c>
      <c r="G83" s="40">
        <v>102701</v>
      </c>
      <c r="H83" s="21"/>
    </row>
    <row r="84" spans="1:8" ht="30" customHeight="1" x14ac:dyDescent="0.25">
      <c r="A84" s="79" t="s">
        <v>29</v>
      </c>
      <c r="B84" s="79"/>
      <c r="C84" s="24" t="s">
        <v>30</v>
      </c>
      <c r="D84" s="39" t="s">
        <v>36</v>
      </c>
      <c r="E84" s="37" t="s">
        <v>71</v>
      </c>
      <c r="F84" s="38">
        <v>0</v>
      </c>
      <c r="G84" s="40">
        <v>112541</v>
      </c>
      <c r="H84" s="21"/>
    </row>
    <row r="85" spans="1:8" ht="30" customHeight="1" x14ac:dyDescent="0.25">
      <c r="A85" s="79" t="s">
        <v>29</v>
      </c>
      <c r="B85" s="79"/>
      <c r="C85" s="24" t="s">
        <v>30</v>
      </c>
      <c r="D85" s="39" t="s">
        <v>36</v>
      </c>
      <c r="E85" s="37" t="s">
        <v>71</v>
      </c>
      <c r="F85" s="38">
        <v>0</v>
      </c>
      <c r="G85" s="40">
        <v>13740</v>
      </c>
      <c r="H85" s="21"/>
    </row>
    <row r="86" spans="1:8" ht="30" customHeight="1" x14ac:dyDescent="0.25">
      <c r="A86" s="79" t="s">
        <v>29</v>
      </c>
      <c r="B86" s="79"/>
      <c r="C86" s="24" t="s">
        <v>30</v>
      </c>
      <c r="D86" s="39" t="s">
        <v>36</v>
      </c>
      <c r="E86" s="37" t="s">
        <v>71</v>
      </c>
      <c r="F86" s="38">
        <v>0</v>
      </c>
      <c r="G86" s="40">
        <v>13788</v>
      </c>
      <c r="H86" s="21"/>
    </row>
    <row r="87" spans="1:8" ht="30" customHeight="1" x14ac:dyDescent="0.25">
      <c r="A87" s="79" t="s">
        <v>29</v>
      </c>
      <c r="B87" s="79"/>
      <c r="C87" s="24" t="s">
        <v>30</v>
      </c>
      <c r="D87" s="39" t="s">
        <v>36</v>
      </c>
      <c r="E87" s="37" t="s">
        <v>71</v>
      </c>
      <c r="F87" s="38">
        <v>0</v>
      </c>
      <c r="G87" s="40">
        <v>13891</v>
      </c>
      <c r="H87" s="21"/>
    </row>
    <row r="88" spans="1:8" ht="30" customHeight="1" x14ac:dyDescent="0.25">
      <c r="A88" s="79" t="s">
        <v>29</v>
      </c>
      <c r="B88" s="79"/>
      <c r="C88" s="24" t="s">
        <v>30</v>
      </c>
      <c r="D88" s="39" t="s">
        <v>36</v>
      </c>
      <c r="E88" s="37" t="s">
        <v>71</v>
      </c>
      <c r="F88" s="38">
        <v>0</v>
      </c>
      <c r="G88" s="40">
        <v>13977</v>
      </c>
      <c r="H88" s="21"/>
    </row>
    <row r="89" spans="1:8" ht="30" customHeight="1" x14ac:dyDescent="0.25">
      <c r="A89" s="79" t="s">
        <v>29</v>
      </c>
      <c r="B89" s="79"/>
      <c r="C89" s="24" t="s">
        <v>30</v>
      </c>
      <c r="D89" s="39" t="s">
        <v>36</v>
      </c>
      <c r="E89" s="37" t="s">
        <v>71</v>
      </c>
      <c r="F89" s="38">
        <v>0</v>
      </c>
      <c r="G89" s="40">
        <v>14354</v>
      </c>
      <c r="H89" s="21"/>
    </row>
    <row r="90" spans="1:8" ht="30" customHeight="1" x14ac:dyDescent="0.25">
      <c r="A90" s="79" t="s">
        <v>29</v>
      </c>
      <c r="B90" s="79"/>
      <c r="C90" s="24" t="s">
        <v>30</v>
      </c>
      <c r="D90" s="39" t="s">
        <v>36</v>
      </c>
      <c r="E90" s="37" t="s">
        <v>71</v>
      </c>
      <c r="F90" s="38">
        <v>0</v>
      </c>
      <c r="G90" s="40">
        <v>14479</v>
      </c>
      <c r="H90" s="21"/>
    </row>
    <row r="91" spans="1:8" ht="30" customHeight="1" x14ac:dyDescent="0.25">
      <c r="A91" s="79" t="s">
        <v>29</v>
      </c>
      <c r="B91" s="79"/>
      <c r="C91" s="24" t="s">
        <v>30</v>
      </c>
      <c r="D91" s="39" t="s">
        <v>36</v>
      </c>
      <c r="E91" s="37" t="s">
        <v>71</v>
      </c>
      <c r="F91" s="38">
        <v>0</v>
      </c>
      <c r="G91" s="40">
        <v>14692</v>
      </c>
      <c r="H91" s="21"/>
    </row>
    <row r="92" spans="1:8" ht="30" customHeight="1" x14ac:dyDescent="0.25">
      <c r="A92" s="79" t="s">
        <v>29</v>
      </c>
      <c r="B92" s="79"/>
      <c r="C92" s="24" t="s">
        <v>30</v>
      </c>
      <c r="D92" s="39" t="s">
        <v>36</v>
      </c>
      <c r="E92" s="37" t="s">
        <v>71</v>
      </c>
      <c r="F92" s="38">
        <v>0</v>
      </c>
      <c r="G92" s="40">
        <v>15082</v>
      </c>
      <c r="H92" s="21"/>
    </row>
    <row r="93" spans="1:8" ht="30" customHeight="1" x14ac:dyDescent="0.25">
      <c r="A93" s="79" t="s">
        <v>29</v>
      </c>
      <c r="B93" s="79"/>
      <c r="C93" s="24" t="s">
        <v>30</v>
      </c>
      <c r="D93" s="39" t="s">
        <v>36</v>
      </c>
      <c r="E93" s="37" t="s">
        <v>71</v>
      </c>
      <c r="F93" s="38">
        <v>0</v>
      </c>
      <c r="G93" s="40">
        <v>15493</v>
      </c>
      <c r="H93" s="21"/>
    </row>
    <row r="94" spans="1:8" ht="30" customHeight="1" x14ac:dyDescent="0.25">
      <c r="A94" s="79" t="s">
        <v>29</v>
      </c>
      <c r="B94" s="79"/>
      <c r="C94" s="24" t="s">
        <v>30</v>
      </c>
      <c r="D94" s="39" t="s">
        <v>36</v>
      </c>
      <c r="E94" s="37" t="s">
        <v>71</v>
      </c>
      <c r="F94" s="38">
        <v>0</v>
      </c>
      <c r="G94" s="40">
        <v>16541</v>
      </c>
      <c r="H94" s="21"/>
    </row>
    <row r="95" spans="1:8" ht="30" customHeight="1" x14ac:dyDescent="0.25">
      <c r="A95" s="79" t="s">
        <v>29</v>
      </c>
      <c r="B95" s="79"/>
      <c r="C95" s="24" t="s">
        <v>30</v>
      </c>
      <c r="D95" s="39" t="s">
        <v>36</v>
      </c>
      <c r="E95" s="37" t="s">
        <v>71</v>
      </c>
      <c r="F95" s="38">
        <v>0</v>
      </c>
      <c r="G95" s="40">
        <v>16690</v>
      </c>
      <c r="H95" s="21"/>
    </row>
    <row r="96" spans="1:8" ht="30" customHeight="1" x14ac:dyDescent="0.25">
      <c r="A96" s="79" t="s">
        <v>29</v>
      </c>
      <c r="B96" s="79"/>
      <c r="C96" s="24" t="s">
        <v>30</v>
      </c>
      <c r="D96" s="39" t="s">
        <v>36</v>
      </c>
      <c r="E96" s="37" t="s">
        <v>71</v>
      </c>
      <c r="F96" s="38">
        <v>0</v>
      </c>
      <c r="G96" s="40">
        <v>16794</v>
      </c>
      <c r="H96" s="21"/>
    </row>
    <row r="97" spans="1:8" ht="30" customHeight="1" x14ac:dyDescent="0.25">
      <c r="A97" s="79" t="s">
        <v>29</v>
      </c>
      <c r="B97" s="79"/>
      <c r="C97" s="24" t="s">
        <v>30</v>
      </c>
      <c r="D97" s="39" t="s">
        <v>36</v>
      </c>
      <c r="E97" s="37" t="s">
        <v>71</v>
      </c>
      <c r="F97" s="38">
        <v>0</v>
      </c>
      <c r="G97" s="40">
        <v>17302</v>
      </c>
      <c r="H97" s="21"/>
    </row>
    <row r="98" spans="1:8" ht="30" customHeight="1" x14ac:dyDescent="0.25">
      <c r="A98" s="79" t="s">
        <v>29</v>
      </c>
      <c r="B98" s="79"/>
      <c r="C98" s="24" t="s">
        <v>30</v>
      </c>
      <c r="D98" s="39" t="s">
        <v>36</v>
      </c>
      <c r="E98" s="37" t="s">
        <v>71</v>
      </c>
      <c r="F98" s="38">
        <v>0</v>
      </c>
      <c r="G98" s="40">
        <v>17486</v>
      </c>
      <c r="H98" s="21"/>
    </row>
    <row r="99" spans="1:8" ht="30" customHeight="1" x14ac:dyDescent="0.25">
      <c r="A99" s="79" t="s">
        <v>29</v>
      </c>
      <c r="B99" s="79"/>
      <c r="C99" s="24" t="s">
        <v>30</v>
      </c>
      <c r="D99" s="39" t="s">
        <v>36</v>
      </c>
      <c r="E99" s="37" t="s">
        <v>71</v>
      </c>
      <c r="F99" s="38">
        <v>0</v>
      </c>
      <c r="G99" s="40">
        <v>17739</v>
      </c>
      <c r="H99" s="21"/>
    </row>
    <row r="100" spans="1:8" ht="30" customHeight="1" x14ac:dyDescent="0.25">
      <c r="A100" s="79" t="s">
        <v>29</v>
      </c>
      <c r="B100" s="79"/>
      <c r="C100" s="24" t="s">
        <v>30</v>
      </c>
      <c r="D100" s="39" t="s">
        <v>36</v>
      </c>
      <c r="E100" s="37" t="s">
        <v>71</v>
      </c>
      <c r="F100" s="38">
        <v>0</v>
      </c>
      <c r="G100" s="40">
        <v>18435</v>
      </c>
      <c r="H100" s="21"/>
    </row>
    <row r="101" spans="1:8" ht="30" customHeight="1" x14ac:dyDescent="0.25">
      <c r="A101" s="79" t="s">
        <v>29</v>
      </c>
      <c r="B101" s="79"/>
      <c r="C101" s="24" t="s">
        <v>30</v>
      </c>
      <c r="D101" s="39" t="s">
        <v>36</v>
      </c>
      <c r="E101" s="37" t="s">
        <v>71</v>
      </c>
      <c r="F101" s="38">
        <v>0</v>
      </c>
      <c r="G101" s="40">
        <v>18711</v>
      </c>
      <c r="H101" s="21"/>
    </row>
    <row r="102" spans="1:8" ht="30" customHeight="1" x14ac:dyDescent="0.25">
      <c r="A102" s="79" t="s">
        <v>29</v>
      </c>
      <c r="B102" s="79"/>
      <c r="C102" s="24" t="s">
        <v>30</v>
      </c>
      <c r="D102" s="39" t="s">
        <v>36</v>
      </c>
      <c r="E102" s="37" t="s">
        <v>71</v>
      </c>
      <c r="F102" s="38">
        <v>0</v>
      </c>
      <c r="G102" s="40">
        <v>18824</v>
      </c>
      <c r="H102" s="21"/>
    </row>
    <row r="103" spans="1:8" ht="30" customHeight="1" x14ac:dyDescent="0.25">
      <c r="A103" s="79" t="s">
        <v>29</v>
      </c>
      <c r="B103" s="79"/>
      <c r="C103" s="24" t="s">
        <v>30</v>
      </c>
      <c r="D103" s="39" t="s">
        <v>36</v>
      </c>
      <c r="E103" s="37" t="s">
        <v>71</v>
      </c>
      <c r="F103" s="38">
        <v>0</v>
      </c>
      <c r="G103" s="40">
        <v>18880</v>
      </c>
      <c r="H103" s="21"/>
    </row>
    <row r="104" spans="1:8" ht="30" customHeight="1" x14ac:dyDescent="0.25">
      <c r="A104" s="79" t="s">
        <v>29</v>
      </c>
      <c r="B104" s="79"/>
      <c r="C104" s="24" t="s">
        <v>30</v>
      </c>
      <c r="D104" s="39" t="s">
        <v>36</v>
      </c>
      <c r="E104" s="37" t="s">
        <v>71</v>
      </c>
      <c r="F104" s="38">
        <v>0</v>
      </c>
      <c r="G104" s="40">
        <v>19289</v>
      </c>
      <c r="H104" s="21"/>
    </row>
    <row r="105" spans="1:8" ht="30" customHeight="1" x14ac:dyDescent="0.25">
      <c r="A105" s="79" t="s">
        <v>29</v>
      </c>
      <c r="B105" s="79"/>
      <c r="C105" s="24" t="s">
        <v>30</v>
      </c>
      <c r="D105" s="39" t="s">
        <v>36</v>
      </c>
      <c r="E105" s="37" t="s">
        <v>71</v>
      </c>
      <c r="F105" s="38">
        <v>0</v>
      </c>
      <c r="G105" s="40">
        <v>19447</v>
      </c>
      <c r="H105" s="21"/>
    </row>
    <row r="106" spans="1:8" ht="30" customHeight="1" x14ac:dyDescent="0.25">
      <c r="A106" s="79" t="s">
        <v>29</v>
      </c>
      <c r="B106" s="79"/>
      <c r="C106" s="24" t="s">
        <v>30</v>
      </c>
      <c r="D106" s="39" t="s">
        <v>36</v>
      </c>
      <c r="E106" s="37" t="s">
        <v>71</v>
      </c>
      <c r="F106" s="38">
        <v>0</v>
      </c>
      <c r="G106" s="40">
        <v>19580</v>
      </c>
      <c r="H106" s="21"/>
    </row>
    <row r="107" spans="1:8" ht="30" customHeight="1" x14ac:dyDescent="0.25">
      <c r="A107" s="79" t="s">
        <v>29</v>
      </c>
      <c r="B107" s="79"/>
      <c r="C107" s="24" t="s">
        <v>30</v>
      </c>
      <c r="D107" s="39" t="s">
        <v>36</v>
      </c>
      <c r="E107" s="37" t="s">
        <v>71</v>
      </c>
      <c r="F107" s="38">
        <v>0</v>
      </c>
      <c r="G107" s="40">
        <v>19662</v>
      </c>
      <c r="H107" s="21"/>
    </row>
    <row r="108" spans="1:8" ht="30" customHeight="1" x14ac:dyDescent="0.25">
      <c r="A108" s="79" t="s">
        <v>29</v>
      </c>
      <c r="B108" s="79"/>
      <c r="C108" s="24" t="s">
        <v>30</v>
      </c>
      <c r="D108" s="39" t="s">
        <v>36</v>
      </c>
      <c r="E108" s="37" t="s">
        <v>71</v>
      </c>
      <c r="F108" s="38">
        <v>0</v>
      </c>
      <c r="G108" s="40">
        <v>20422</v>
      </c>
      <c r="H108" s="21"/>
    </row>
    <row r="109" spans="1:8" ht="30" customHeight="1" x14ac:dyDescent="0.25">
      <c r="A109" s="79" t="s">
        <v>29</v>
      </c>
      <c r="B109" s="79"/>
      <c r="C109" s="24" t="s">
        <v>30</v>
      </c>
      <c r="D109" s="39" t="s">
        <v>36</v>
      </c>
      <c r="E109" s="37" t="s">
        <v>71</v>
      </c>
      <c r="F109" s="38">
        <v>0</v>
      </c>
      <c r="G109" s="40">
        <v>20438</v>
      </c>
      <c r="H109" s="21"/>
    </row>
    <row r="110" spans="1:8" ht="30" customHeight="1" x14ac:dyDescent="0.25">
      <c r="A110" s="79" t="s">
        <v>29</v>
      </c>
      <c r="B110" s="79"/>
      <c r="C110" s="24" t="s">
        <v>30</v>
      </c>
      <c r="D110" s="39" t="s">
        <v>36</v>
      </c>
      <c r="E110" s="37" t="s">
        <v>71</v>
      </c>
      <c r="F110" s="38">
        <v>0</v>
      </c>
      <c r="G110" s="40">
        <v>21565</v>
      </c>
      <c r="H110" s="21"/>
    </row>
    <row r="111" spans="1:8" ht="30" customHeight="1" x14ac:dyDescent="0.25">
      <c r="A111" s="79" t="s">
        <v>29</v>
      </c>
      <c r="B111" s="79"/>
      <c r="C111" s="24" t="s">
        <v>30</v>
      </c>
      <c r="D111" s="39" t="s">
        <v>36</v>
      </c>
      <c r="E111" s="37" t="s">
        <v>71</v>
      </c>
      <c r="F111" s="38">
        <v>0</v>
      </c>
      <c r="G111" s="40">
        <v>21715</v>
      </c>
      <c r="H111" s="21"/>
    </row>
    <row r="112" spans="1:8" ht="30" customHeight="1" x14ac:dyDescent="0.25">
      <c r="A112" s="79" t="s">
        <v>29</v>
      </c>
      <c r="B112" s="79"/>
      <c r="C112" s="24" t="s">
        <v>30</v>
      </c>
      <c r="D112" s="39" t="s">
        <v>36</v>
      </c>
      <c r="E112" s="37" t="s">
        <v>71</v>
      </c>
      <c r="F112" s="38">
        <v>0</v>
      </c>
      <c r="G112" s="40">
        <v>21746</v>
      </c>
      <c r="H112" s="21"/>
    </row>
    <row r="113" spans="1:8" ht="30" customHeight="1" x14ac:dyDescent="0.25">
      <c r="A113" s="79" t="s">
        <v>29</v>
      </c>
      <c r="B113" s="79"/>
      <c r="C113" s="24" t="s">
        <v>30</v>
      </c>
      <c r="D113" s="39" t="s">
        <v>36</v>
      </c>
      <c r="E113" s="37" t="s">
        <v>71</v>
      </c>
      <c r="F113" s="38">
        <v>0</v>
      </c>
      <c r="G113" s="40">
        <v>21783</v>
      </c>
      <c r="H113" s="21"/>
    </row>
    <row r="114" spans="1:8" ht="30" customHeight="1" x14ac:dyDescent="0.25">
      <c r="A114" s="79" t="s">
        <v>29</v>
      </c>
      <c r="B114" s="79"/>
      <c r="C114" s="24" t="s">
        <v>30</v>
      </c>
      <c r="D114" s="39" t="s">
        <v>36</v>
      </c>
      <c r="E114" s="37" t="s">
        <v>71</v>
      </c>
      <c r="F114" s="38">
        <v>0</v>
      </c>
      <c r="G114" s="40">
        <v>22108</v>
      </c>
      <c r="H114" s="21"/>
    </row>
    <row r="115" spans="1:8" ht="30" customHeight="1" x14ac:dyDescent="0.25">
      <c r="A115" s="79" t="s">
        <v>29</v>
      </c>
      <c r="B115" s="79"/>
      <c r="C115" s="24" t="s">
        <v>30</v>
      </c>
      <c r="D115" s="39" t="s">
        <v>36</v>
      </c>
      <c r="E115" s="37" t="s">
        <v>71</v>
      </c>
      <c r="F115" s="38">
        <v>0</v>
      </c>
      <c r="G115" s="40">
        <v>22108</v>
      </c>
      <c r="H115" s="21"/>
    </row>
    <row r="116" spans="1:8" ht="30" customHeight="1" x14ac:dyDescent="0.25">
      <c r="A116" s="79" t="s">
        <v>29</v>
      </c>
      <c r="B116" s="79"/>
      <c r="C116" s="24" t="s">
        <v>30</v>
      </c>
      <c r="D116" s="39" t="s">
        <v>36</v>
      </c>
      <c r="E116" s="37" t="s">
        <v>71</v>
      </c>
      <c r="F116" s="38">
        <v>0</v>
      </c>
      <c r="G116" s="40">
        <v>22245</v>
      </c>
      <c r="H116" s="21"/>
    </row>
    <row r="117" spans="1:8" ht="30" customHeight="1" x14ac:dyDescent="0.25">
      <c r="A117" s="79" t="s">
        <v>29</v>
      </c>
      <c r="B117" s="79"/>
      <c r="C117" s="24" t="s">
        <v>30</v>
      </c>
      <c r="D117" s="39" t="s">
        <v>36</v>
      </c>
      <c r="E117" s="37" t="s">
        <v>71</v>
      </c>
      <c r="F117" s="38">
        <v>0</v>
      </c>
      <c r="G117" s="40">
        <v>22617</v>
      </c>
      <c r="H117" s="21"/>
    </row>
    <row r="118" spans="1:8" ht="30" customHeight="1" x14ac:dyDescent="0.25">
      <c r="A118" s="79" t="s">
        <v>29</v>
      </c>
      <c r="B118" s="79"/>
      <c r="C118" s="24" t="s">
        <v>30</v>
      </c>
      <c r="D118" s="39" t="s">
        <v>36</v>
      </c>
      <c r="E118" s="37" t="s">
        <v>71</v>
      </c>
      <c r="F118" s="38">
        <v>0</v>
      </c>
      <c r="G118" s="40">
        <v>23107</v>
      </c>
      <c r="H118" s="21"/>
    </row>
    <row r="119" spans="1:8" ht="30" customHeight="1" x14ac:dyDescent="0.25">
      <c r="A119" s="79" t="s">
        <v>29</v>
      </c>
      <c r="B119" s="79"/>
      <c r="C119" s="24" t="s">
        <v>30</v>
      </c>
      <c r="D119" s="39" t="s">
        <v>36</v>
      </c>
      <c r="E119" s="37" t="s">
        <v>71</v>
      </c>
      <c r="F119" s="38">
        <v>0</v>
      </c>
      <c r="G119" s="40">
        <v>23258</v>
      </c>
      <c r="H119" s="21"/>
    </row>
    <row r="120" spans="1:8" ht="30" customHeight="1" x14ac:dyDescent="0.25">
      <c r="A120" s="79" t="s">
        <v>29</v>
      </c>
      <c r="B120" s="79"/>
      <c r="C120" s="24" t="s">
        <v>30</v>
      </c>
      <c r="D120" s="39" t="s">
        <v>36</v>
      </c>
      <c r="E120" s="37" t="s">
        <v>71</v>
      </c>
      <c r="F120" s="38">
        <v>0</v>
      </c>
      <c r="G120" s="40">
        <v>23427</v>
      </c>
      <c r="H120" s="21"/>
    </row>
    <row r="121" spans="1:8" ht="30" customHeight="1" x14ac:dyDescent="0.25">
      <c r="A121" s="79" t="s">
        <v>29</v>
      </c>
      <c r="B121" s="79"/>
      <c r="C121" s="24" t="s">
        <v>30</v>
      </c>
      <c r="D121" s="39" t="s">
        <v>36</v>
      </c>
      <c r="E121" s="37" t="s">
        <v>71</v>
      </c>
      <c r="F121" s="38">
        <v>0</v>
      </c>
      <c r="G121" s="40">
        <v>24799</v>
      </c>
      <c r="H121" s="21"/>
    </row>
    <row r="122" spans="1:8" ht="30" customHeight="1" x14ac:dyDescent="0.25">
      <c r="A122" s="79" t="s">
        <v>29</v>
      </c>
      <c r="B122" s="79"/>
      <c r="C122" s="24" t="s">
        <v>30</v>
      </c>
      <c r="D122" s="39" t="s">
        <v>36</v>
      </c>
      <c r="E122" s="37" t="s">
        <v>71</v>
      </c>
      <c r="F122" s="38">
        <v>0</v>
      </c>
      <c r="G122" s="40">
        <v>24947</v>
      </c>
      <c r="H122" s="21"/>
    </row>
    <row r="123" spans="1:8" ht="30" customHeight="1" x14ac:dyDescent="0.25">
      <c r="A123" s="79" t="s">
        <v>29</v>
      </c>
      <c r="B123" s="79"/>
      <c r="C123" s="24" t="s">
        <v>30</v>
      </c>
      <c r="D123" s="39" t="s">
        <v>36</v>
      </c>
      <c r="E123" s="37" t="s">
        <v>71</v>
      </c>
      <c r="F123" s="38">
        <v>0</v>
      </c>
      <c r="G123" s="40">
        <v>25076</v>
      </c>
      <c r="H123" s="21"/>
    </row>
    <row r="124" spans="1:8" ht="30" customHeight="1" x14ac:dyDescent="0.25">
      <c r="A124" s="79" t="s">
        <v>29</v>
      </c>
      <c r="B124" s="79"/>
      <c r="C124" s="24" t="s">
        <v>30</v>
      </c>
      <c r="D124" s="39" t="s">
        <v>36</v>
      </c>
      <c r="E124" s="37" t="s">
        <v>71</v>
      </c>
      <c r="F124" s="38">
        <v>0</v>
      </c>
      <c r="G124" s="40">
        <v>26023</v>
      </c>
      <c r="H124" s="21"/>
    </row>
    <row r="125" spans="1:8" ht="30" customHeight="1" x14ac:dyDescent="0.25">
      <c r="A125" s="79" t="s">
        <v>29</v>
      </c>
      <c r="B125" s="79"/>
      <c r="C125" s="24" t="s">
        <v>30</v>
      </c>
      <c r="D125" s="39" t="s">
        <v>36</v>
      </c>
      <c r="E125" s="37" t="s">
        <v>71</v>
      </c>
      <c r="F125" s="38">
        <v>0</v>
      </c>
      <c r="G125" s="40">
        <v>26204</v>
      </c>
      <c r="H125" s="21"/>
    </row>
    <row r="126" spans="1:8" ht="30" customHeight="1" x14ac:dyDescent="0.25">
      <c r="A126" s="79" t="s">
        <v>29</v>
      </c>
      <c r="B126" s="79"/>
      <c r="C126" s="24" t="s">
        <v>30</v>
      </c>
      <c r="D126" s="39" t="s">
        <v>36</v>
      </c>
      <c r="E126" s="37" t="s">
        <v>71</v>
      </c>
      <c r="F126" s="38">
        <v>0</v>
      </c>
      <c r="G126" s="40">
        <v>26365</v>
      </c>
      <c r="H126" s="21"/>
    </row>
    <row r="127" spans="1:8" ht="30" customHeight="1" x14ac:dyDescent="0.25">
      <c r="A127" s="79" t="s">
        <v>29</v>
      </c>
      <c r="B127" s="79"/>
      <c r="C127" s="24" t="s">
        <v>30</v>
      </c>
      <c r="D127" s="39" t="s">
        <v>36</v>
      </c>
      <c r="E127" s="37" t="s">
        <v>71</v>
      </c>
      <c r="F127" s="38">
        <v>0</v>
      </c>
      <c r="G127" s="40">
        <v>26528</v>
      </c>
      <c r="H127" s="21"/>
    </row>
    <row r="128" spans="1:8" ht="30" customHeight="1" x14ac:dyDescent="0.25">
      <c r="A128" s="79" t="s">
        <v>29</v>
      </c>
      <c r="B128" s="79"/>
      <c r="C128" s="24" t="s">
        <v>30</v>
      </c>
      <c r="D128" s="39" t="s">
        <v>36</v>
      </c>
      <c r="E128" s="37" t="s">
        <v>71</v>
      </c>
      <c r="F128" s="38">
        <v>0</v>
      </c>
      <c r="G128" s="40">
        <v>27256</v>
      </c>
      <c r="H128" s="21"/>
    </row>
    <row r="129" spans="1:8" ht="30" customHeight="1" x14ac:dyDescent="0.25">
      <c r="A129" s="79" t="s">
        <v>29</v>
      </c>
      <c r="B129" s="79"/>
      <c r="C129" s="24" t="s">
        <v>30</v>
      </c>
      <c r="D129" s="39" t="s">
        <v>36</v>
      </c>
      <c r="E129" s="37" t="s">
        <v>71</v>
      </c>
      <c r="F129" s="38">
        <v>0</v>
      </c>
      <c r="G129" s="40">
        <v>27715</v>
      </c>
      <c r="H129" s="21"/>
    </row>
    <row r="130" spans="1:8" ht="30" customHeight="1" x14ac:dyDescent="0.25">
      <c r="A130" s="79" t="s">
        <v>29</v>
      </c>
      <c r="B130" s="79"/>
      <c r="C130" s="24" t="s">
        <v>30</v>
      </c>
      <c r="D130" s="39" t="s">
        <v>36</v>
      </c>
      <c r="E130" s="37" t="s">
        <v>71</v>
      </c>
      <c r="F130" s="38">
        <v>0</v>
      </c>
      <c r="G130" s="40">
        <v>27998</v>
      </c>
      <c r="H130" s="21"/>
    </row>
    <row r="131" spans="1:8" ht="30" customHeight="1" x14ac:dyDescent="0.25">
      <c r="A131" s="79" t="s">
        <v>29</v>
      </c>
      <c r="B131" s="79"/>
      <c r="C131" s="24" t="s">
        <v>30</v>
      </c>
      <c r="D131" s="39" t="s">
        <v>36</v>
      </c>
      <c r="E131" s="37" t="s">
        <v>71</v>
      </c>
      <c r="F131" s="38">
        <v>0</v>
      </c>
      <c r="G131" s="40">
        <v>28325</v>
      </c>
      <c r="H131" s="21"/>
    </row>
    <row r="132" spans="1:8" ht="30" customHeight="1" x14ac:dyDescent="0.25">
      <c r="A132" s="79" t="s">
        <v>29</v>
      </c>
      <c r="B132" s="79"/>
      <c r="C132" s="24" t="s">
        <v>30</v>
      </c>
      <c r="D132" s="39" t="s">
        <v>36</v>
      </c>
      <c r="E132" s="37" t="s">
        <v>71</v>
      </c>
      <c r="F132" s="38">
        <v>0</v>
      </c>
      <c r="G132" s="40">
        <v>28376</v>
      </c>
      <c r="H132" s="21"/>
    </row>
    <row r="133" spans="1:8" ht="30" customHeight="1" x14ac:dyDescent="0.25">
      <c r="A133" s="79" t="s">
        <v>29</v>
      </c>
      <c r="B133" s="79"/>
      <c r="C133" s="24" t="s">
        <v>30</v>
      </c>
      <c r="D133" s="39" t="s">
        <v>36</v>
      </c>
      <c r="E133" s="37" t="s">
        <v>71</v>
      </c>
      <c r="F133" s="38">
        <v>0</v>
      </c>
      <c r="G133" s="40">
        <v>29324</v>
      </c>
      <c r="H133" s="21"/>
    </row>
    <row r="134" spans="1:8" ht="30" customHeight="1" x14ac:dyDescent="0.25">
      <c r="A134" s="79" t="s">
        <v>29</v>
      </c>
      <c r="B134" s="79"/>
      <c r="C134" s="24" t="s">
        <v>30</v>
      </c>
      <c r="D134" s="39" t="s">
        <v>36</v>
      </c>
      <c r="E134" s="37" t="s">
        <v>71</v>
      </c>
      <c r="F134" s="38">
        <v>0</v>
      </c>
      <c r="G134" s="40">
        <v>29349</v>
      </c>
      <c r="H134" s="21"/>
    </row>
    <row r="135" spans="1:8" ht="30" customHeight="1" x14ac:dyDescent="0.25">
      <c r="A135" s="79" t="s">
        <v>29</v>
      </c>
      <c r="B135" s="79"/>
      <c r="C135" s="24" t="s">
        <v>30</v>
      </c>
      <c r="D135" s="39" t="s">
        <v>36</v>
      </c>
      <c r="E135" s="37" t="s">
        <v>71</v>
      </c>
      <c r="F135" s="38">
        <v>0</v>
      </c>
      <c r="G135" s="40">
        <v>30694</v>
      </c>
      <c r="H135" s="21"/>
    </row>
    <row r="136" spans="1:8" ht="30" customHeight="1" x14ac:dyDescent="0.25">
      <c r="A136" s="79" t="s">
        <v>29</v>
      </c>
      <c r="B136" s="79"/>
      <c r="C136" s="24" t="s">
        <v>30</v>
      </c>
      <c r="D136" s="39" t="s">
        <v>36</v>
      </c>
      <c r="E136" s="37" t="s">
        <v>71</v>
      </c>
      <c r="F136" s="38">
        <v>0</v>
      </c>
      <c r="G136" s="40">
        <v>30984</v>
      </c>
      <c r="H136" s="21"/>
    </row>
    <row r="137" spans="1:8" ht="30" customHeight="1" x14ac:dyDescent="0.25">
      <c r="A137" s="79" t="s">
        <v>29</v>
      </c>
      <c r="B137" s="79"/>
      <c r="C137" s="24" t="s">
        <v>30</v>
      </c>
      <c r="D137" s="39" t="s">
        <v>36</v>
      </c>
      <c r="E137" s="37" t="s">
        <v>71</v>
      </c>
      <c r="F137" s="38">
        <v>0</v>
      </c>
      <c r="G137" s="40">
        <v>32301</v>
      </c>
      <c r="H137" s="21"/>
    </row>
    <row r="138" spans="1:8" ht="30" customHeight="1" x14ac:dyDescent="0.25">
      <c r="A138" s="79" t="s">
        <v>29</v>
      </c>
      <c r="B138" s="79"/>
      <c r="C138" s="24" t="s">
        <v>30</v>
      </c>
      <c r="D138" s="39" t="s">
        <v>36</v>
      </c>
      <c r="E138" s="37" t="s">
        <v>71</v>
      </c>
      <c r="F138" s="38">
        <v>0</v>
      </c>
      <c r="G138" s="40">
        <v>32603</v>
      </c>
      <c r="H138" s="21"/>
    </row>
    <row r="139" spans="1:8" ht="30" customHeight="1" x14ac:dyDescent="0.25">
      <c r="A139" s="79" t="s">
        <v>29</v>
      </c>
      <c r="B139" s="79"/>
      <c r="C139" s="24" t="s">
        <v>30</v>
      </c>
      <c r="D139" s="39" t="s">
        <v>36</v>
      </c>
      <c r="E139" s="37" t="s">
        <v>71</v>
      </c>
      <c r="F139" s="38">
        <v>0</v>
      </c>
      <c r="G139" s="40">
        <v>33334</v>
      </c>
      <c r="H139" s="21"/>
    </row>
    <row r="140" spans="1:8" ht="30" customHeight="1" x14ac:dyDescent="0.25">
      <c r="A140" s="79" t="s">
        <v>29</v>
      </c>
      <c r="B140" s="79"/>
      <c r="C140" s="24" t="s">
        <v>30</v>
      </c>
      <c r="D140" s="39" t="s">
        <v>36</v>
      </c>
      <c r="E140" s="37" t="s">
        <v>71</v>
      </c>
      <c r="F140" s="38">
        <v>0</v>
      </c>
      <c r="G140" s="40">
        <v>33398</v>
      </c>
      <c r="H140" s="21"/>
    </row>
    <row r="141" spans="1:8" ht="30" customHeight="1" x14ac:dyDescent="0.25">
      <c r="A141" s="79" t="s">
        <v>29</v>
      </c>
      <c r="B141" s="79"/>
      <c r="C141" s="24" t="s">
        <v>30</v>
      </c>
      <c r="D141" s="39" t="s">
        <v>36</v>
      </c>
      <c r="E141" s="37" t="s">
        <v>71</v>
      </c>
      <c r="F141" s="38">
        <v>0</v>
      </c>
      <c r="G141" s="40">
        <v>33554</v>
      </c>
      <c r="H141" s="21"/>
    </row>
    <row r="142" spans="1:8" ht="30" customHeight="1" x14ac:dyDescent="0.25">
      <c r="A142" s="79" t="s">
        <v>29</v>
      </c>
      <c r="B142" s="79"/>
      <c r="C142" s="24" t="s">
        <v>30</v>
      </c>
      <c r="D142" s="39" t="s">
        <v>36</v>
      </c>
      <c r="E142" s="37" t="s">
        <v>71</v>
      </c>
      <c r="F142" s="38">
        <v>0</v>
      </c>
      <c r="G142" s="40">
        <v>34278</v>
      </c>
      <c r="H142" s="21"/>
    </row>
    <row r="143" spans="1:8" ht="30" customHeight="1" x14ac:dyDescent="0.25">
      <c r="A143" s="79" t="s">
        <v>29</v>
      </c>
      <c r="B143" s="79"/>
      <c r="C143" s="24" t="s">
        <v>30</v>
      </c>
      <c r="D143" s="39" t="s">
        <v>36</v>
      </c>
      <c r="E143" s="37" t="s">
        <v>71</v>
      </c>
      <c r="F143" s="38">
        <v>0</v>
      </c>
      <c r="G143" s="40">
        <v>34518</v>
      </c>
      <c r="H143" s="21"/>
    </row>
    <row r="144" spans="1:8" ht="30" customHeight="1" x14ac:dyDescent="0.25">
      <c r="A144" s="79" t="s">
        <v>29</v>
      </c>
      <c r="B144" s="79"/>
      <c r="C144" s="24" t="s">
        <v>30</v>
      </c>
      <c r="D144" s="39" t="s">
        <v>36</v>
      </c>
      <c r="E144" s="37" t="s">
        <v>71</v>
      </c>
      <c r="F144" s="38">
        <v>0</v>
      </c>
      <c r="G144" s="40">
        <v>34919</v>
      </c>
      <c r="H144" s="21"/>
    </row>
    <row r="145" spans="1:8" ht="30" customHeight="1" x14ac:dyDescent="0.25">
      <c r="A145" s="79" t="s">
        <v>29</v>
      </c>
      <c r="B145" s="79"/>
      <c r="C145" s="24" t="s">
        <v>30</v>
      </c>
      <c r="D145" s="39" t="s">
        <v>36</v>
      </c>
      <c r="E145" s="37" t="s">
        <v>71</v>
      </c>
      <c r="F145" s="38">
        <v>0</v>
      </c>
      <c r="G145" s="40">
        <v>35165</v>
      </c>
      <c r="H145" s="21"/>
    </row>
    <row r="146" spans="1:8" ht="30" customHeight="1" thickBot="1" x14ac:dyDescent="0.3">
      <c r="A146" s="79" t="s">
        <v>29</v>
      </c>
      <c r="B146" s="79"/>
      <c r="C146" s="24" t="s">
        <v>30</v>
      </c>
      <c r="D146" s="32" t="s">
        <v>36</v>
      </c>
      <c r="E146" s="33" t="s">
        <v>71</v>
      </c>
      <c r="F146" s="34">
        <v>0</v>
      </c>
      <c r="G146" s="35">
        <v>36034</v>
      </c>
      <c r="H146" s="21"/>
    </row>
    <row r="147" spans="1:8" ht="21.75" thickBot="1" x14ac:dyDescent="0.4">
      <c r="A147" s="7"/>
      <c r="B147" s="7"/>
      <c r="C147" s="7"/>
      <c r="D147" s="15"/>
      <c r="E147" s="15"/>
      <c r="F147" s="26" t="s">
        <v>67</v>
      </c>
      <c r="G147" s="27">
        <f>SUM(G24:G146)</f>
        <v>5620940</v>
      </c>
      <c r="H147" s="74">
        <v>1213</v>
      </c>
    </row>
    <row r="148" spans="1:8" ht="32.25" thickBot="1" x14ac:dyDescent="0.4">
      <c r="A148" s="79" t="s">
        <v>29</v>
      </c>
      <c r="B148" s="79"/>
      <c r="C148" s="7" t="s">
        <v>30</v>
      </c>
      <c r="D148" s="7" t="s">
        <v>41</v>
      </c>
      <c r="E148" s="70" t="s">
        <v>72</v>
      </c>
      <c r="F148" s="20">
        <v>0</v>
      </c>
      <c r="G148" s="22">
        <v>298000</v>
      </c>
      <c r="H148" s="74">
        <v>1214</v>
      </c>
    </row>
    <row r="149" spans="1:8" ht="32.25" thickBot="1" x14ac:dyDescent="0.4">
      <c r="A149" s="79" t="s">
        <v>29</v>
      </c>
      <c r="B149" s="79"/>
      <c r="C149" s="7" t="s">
        <v>30</v>
      </c>
      <c r="D149" s="36" t="s">
        <v>40</v>
      </c>
      <c r="E149" s="71" t="s">
        <v>73</v>
      </c>
      <c r="F149" s="41">
        <v>0</v>
      </c>
      <c r="G149" s="72">
        <v>227739</v>
      </c>
      <c r="H149" s="74">
        <v>1216</v>
      </c>
    </row>
    <row r="150" spans="1:8" ht="30" customHeight="1" x14ac:dyDescent="0.35">
      <c r="A150" s="79" t="s">
        <v>29</v>
      </c>
      <c r="B150" s="79"/>
      <c r="C150" s="24" t="s">
        <v>30</v>
      </c>
      <c r="D150" s="28" t="s">
        <v>37</v>
      </c>
      <c r="E150" s="29" t="s">
        <v>74</v>
      </c>
      <c r="F150" s="30">
        <v>0</v>
      </c>
      <c r="G150" s="31">
        <v>7159</v>
      </c>
      <c r="H150" s="74"/>
    </row>
    <row r="151" spans="1:8" ht="30" customHeight="1" thickBot="1" x14ac:dyDescent="0.4">
      <c r="A151" s="79" t="s">
        <v>29</v>
      </c>
      <c r="B151" s="79"/>
      <c r="C151" s="24" t="s">
        <v>30</v>
      </c>
      <c r="D151" s="32" t="s">
        <v>37</v>
      </c>
      <c r="E151" s="33" t="s">
        <v>74</v>
      </c>
      <c r="F151" s="34">
        <v>0</v>
      </c>
      <c r="G151" s="35">
        <v>43288</v>
      </c>
      <c r="H151" s="74"/>
    </row>
    <row r="152" spans="1:8" ht="21.75" thickBot="1" x14ac:dyDescent="0.4">
      <c r="A152" s="13"/>
      <c r="B152" s="13"/>
      <c r="C152" s="13"/>
      <c r="D152" s="15"/>
      <c r="E152" s="15"/>
      <c r="F152" s="26" t="s">
        <v>67</v>
      </c>
      <c r="G152" s="27">
        <f>SUM(G150:G151)</f>
        <v>50447</v>
      </c>
      <c r="H152" s="74">
        <v>1217</v>
      </c>
    </row>
    <row r="153" spans="1:8" ht="32.25" thickBot="1" x14ac:dyDescent="0.4">
      <c r="A153" s="79" t="s">
        <v>29</v>
      </c>
      <c r="B153" s="79"/>
      <c r="C153" s="7" t="s">
        <v>76</v>
      </c>
      <c r="D153" s="7" t="s">
        <v>42</v>
      </c>
      <c r="E153" s="70" t="s">
        <v>75</v>
      </c>
      <c r="F153" s="20">
        <v>0</v>
      </c>
      <c r="G153" s="22">
        <v>309789</v>
      </c>
      <c r="H153" s="74">
        <v>1218</v>
      </c>
    </row>
    <row r="154" spans="1:8" ht="32.25" thickBot="1" x14ac:dyDescent="0.4">
      <c r="A154" s="79" t="s">
        <v>29</v>
      </c>
      <c r="B154" s="79"/>
      <c r="C154" s="7" t="s">
        <v>45</v>
      </c>
      <c r="D154" s="7" t="s">
        <v>46</v>
      </c>
      <c r="E154" s="70" t="s">
        <v>77</v>
      </c>
      <c r="F154" s="20">
        <v>0</v>
      </c>
      <c r="G154" s="22">
        <v>87712</v>
      </c>
      <c r="H154" s="74">
        <v>1219</v>
      </c>
    </row>
    <row r="155" spans="1:8" ht="32.25" thickBot="1" x14ac:dyDescent="0.4">
      <c r="A155" s="79" t="s">
        <v>29</v>
      </c>
      <c r="B155" s="79"/>
      <c r="C155" s="7" t="s">
        <v>30</v>
      </c>
      <c r="D155" s="7" t="s">
        <v>47</v>
      </c>
      <c r="E155" s="70" t="s">
        <v>48</v>
      </c>
      <c r="F155" s="20">
        <v>0</v>
      </c>
      <c r="G155" s="22">
        <v>28553</v>
      </c>
      <c r="H155" s="74">
        <v>1220</v>
      </c>
    </row>
    <row r="156" spans="1:8" ht="39" customHeight="1" thickBot="1" x14ac:dyDescent="0.4">
      <c r="A156" s="79" t="s">
        <v>29</v>
      </c>
      <c r="B156" s="79"/>
      <c r="C156" s="7" t="s">
        <v>30</v>
      </c>
      <c r="D156" s="7" t="s">
        <v>43</v>
      </c>
      <c r="E156" s="70" t="s">
        <v>44</v>
      </c>
      <c r="F156" s="20">
        <v>0</v>
      </c>
      <c r="G156" s="22">
        <v>44555</v>
      </c>
      <c r="H156" s="74">
        <v>1221</v>
      </c>
    </row>
    <row r="157" spans="1:8" ht="30" customHeight="1" x14ac:dyDescent="0.25">
      <c r="A157" s="79" t="s">
        <v>29</v>
      </c>
      <c r="B157" s="79"/>
      <c r="C157" s="7" t="s">
        <v>30</v>
      </c>
      <c r="D157" s="7" t="s">
        <v>31</v>
      </c>
      <c r="E157" s="7" t="s">
        <v>32</v>
      </c>
      <c r="F157" s="12">
        <v>10582673</v>
      </c>
      <c r="G157" s="73">
        <v>0</v>
      </c>
      <c r="H157" s="9"/>
    </row>
    <row r="158" spans="1:8" ht="30" customHeight="1" x14ac:dyDescent="0.25">
      <c r="A158" s="79" t="s">
        <v>29</v>
      </c>
      <c r="B158" s="79"/>
      <c r="C158" s="7" t="s">
        <v>30</v>
      </c>
      <c r="D158" s="7" t="s">
        <v>35</v>
      </c>
      <c r="E158" s="7" t="s">
        <v>34</v>
      </c>
      <c r="F158" s="12">
        <v>858000000</v>
      </c>
      <c r="G158" s="14">
        <v>0</v>
      </c>
      <c r="H158" s="9"/>
    </row>
    <row r="159" spans="1:8" ht="30" customHeight="1" x14ac:dyDescent="0.25">
      <c r="A159" s="79" t="s">
        <v>29</v>
      </c>
      <c r="B159" s="79"/>
      <c r="C159" s="7" t="s">
        <v>30</v>
      </c>
      <c r="D159" s="7" t="s">
        <v>33</v>
      </c>
      <c r="E159" s="7" t="s">
        <v>34</v>
      </c>
      <c r="F159" s="12">
        <v>229104512</v>
      </c>
      <c r="G159" s="14">
        <v>0</v>
      </c>
      <c r="H159" s="9"/>
    </row>
    <row r="160" spans="1:8" ht="30" customHeight="1" x14ac:dyDescent="0.25">
      <c r="A160" s="79" t="s">
        <v>50</v>
      </c>
      <c r="B160" s="79"/>
      <c r="C160" s="7" t="s">
        <v>30</v>
      </c>
      <c r="D160" s="7" t="s">
        <v>51</v>
      </c>
      <c r="E160" s="7" t="s">
        <v>32</v>
      </c>
      <c r="F160" s="12">
        <v>66201</v>
      </c>
      <c r="G160" s="14">
        <v>0</v>
      </c>
      <c r="H160" s="9"/>
    </row>
    <row r="161" spans="1:8" ht="30" customHeight="1" x14ac:dyDescent="0.25">
      <c r="A161" s="79" t="s">
        <v>50</v>
      </c>
      <c r="B161" s="79"/>
      <c r="C161" s="7" t="s">
        <v>30</v>
      </c>
      <c r="D161" s="7" t="s">
        <v>52</v>
      </c>
      <c r="E161" s="7" t="s">
        <v>32</v>
      </c>
      <c r="F161" s="12">
        <v>66201</v>
      </c>
      <c r="G161" s="14">
        <v>0</v>
      </c>
      <c r="H161" s="9"/>
    </row>
    <row r="162" spans="1:8" ht="30" customHeight="1" x14ac:dyDescent="0.25">
      <c r="A162" s="79" t="s">
        <v>50</v>
      </c>
      <c r="B162" s="79"/>
      <c r="C162" s="7" t="s">
        <v>30</v>
      </c>
      <c r="D162" s="7" t="s">
        <v>53</v>
      </c>
      <c r="E162" s="7" t="s">
        <v>32</v>
      </c>
      <c r="F162" s="12">
        <v>132402</v>
      </c>
      <c r="G162" s="14">
        <v>0</v>
      </c>
      <c r="H162" s="9"/>
    </row>
    <row r="163" spans="1:8" x14ac:dyDescent="0.25">
      <c r="A163" s="1"/>
      <c r="B163" s="1"/>
      <c r="C163" s="1"/>
      <c r="D163" s="1"/>
      <c r="E163" s="1"/>
      <c r="F163" s="5"/>
      <c r="G163" s="42">
        <f>G21+G22+G23+G147+G148+G149+G152+G153+G154+G155+G156</f>
        <v>375533478</v>
      </c>
    </row>
    <row r="164" spans="1:8" x14ac:dyDescent="0.25">
      <c r="A164" s="80"/>
      <c r="B164" s="80"/>
      <c r="C164" s="80"/>
      <c r="D164" s="80"/>
      <c r="E164" s="80"/>
      <c r="F164" s="80"/>
      <c r="G164" s="80"/>
    </row>
    <row r="165" spans="1:8" x14ac:dyDescent="0.25">
      <c r="A165" s="77"/>
      <c r="B165" s="77"/>
      <c r="C165" s="77"/>
      <c r="D165" s="77"/>
      <c r="E165" s="77"/>
      <c r="F165" s="77"/>
      <c r="G165" s="77"/>
    </row>
    <row r="166" spans="1:8" ht="15" customHeight="1" x14ac:dyDescent="0.25">
      <c r="A166" s="78" t="s">
        <v>54</v>
      </c>
      <c r="B166" s="78"/>
      <c r="C166" s="78"/>
      <c r="D166" s="78"/>
      <c r="E166" s="78"/>
      <c r="F166" s="78"/>
      <c r="G166" s="78"/>
    </row>
    <row r="167" spans="1:8" x14ac:dyDescent="0.25">
      <c r="A167" s="77"/>
      <c r="B167" s="77"/>
      <c r="C167" s="77"/>
      <c r="D167" s="77"/>
      <c r="E167" s="77"/>
      <c r="F167" s="77"/>
      <c r="G167" s="77"/>
    </row>
    <row r="168" spans="1:8" x14ac:dyDescent="0.25">
      <c r="A168" s="7" t="s">
        <v>55</v>
      </c>
      <c r="B168" s="8">
        <v>5718970925</v>
      </c>
      <c r="C168" s="9"/>
    </row>
    <row r="169" spans="1:8" x14ac:dyDescent="0.25">
      <c r="A169" s="7" t="s">
        <v>56</v>
      </c>
      <c r="B169" s="10">
        <v>0</v>
      </c>
      <c r="C169" s="9"/>
    </row>
    <row r="170" spans="1:8" x14ac:dyDescent="0.25">
      <c r="A170" s="7" t="s">
        <v>57</v>
      </c>
      <c r="B170" s="8">
        <v>1097951989</v>
      </c>
      <c r="C170" s="9"/>
    </row>
    <row r="171" spans="1:8" x14ac:dyDescent="0.25">
      <c r="A171" s="7" t="s">
        <v>58</v>
      </c>
      <c r="B171" s="8">
        <v>87712</v>
      </c>
      <c r="C171" s="11">
        <f>B171+B172</f>
        <v>375533478</v>
      </c>
    </row>
    <row r="172" spans="1:8" x14ac:dyDescent="0.25">
      <c r="A172" s="7" t="s">
        <v>59</v>
      </c>
      <c r="B172" s="8">
        <v>375445766</v>
      </c>
      <c r="C172" s="9"/>
    </row>
    <row r="173" spans="1:8" x14ac:dyDescent="0.25">
      <c r="A173" s="7" t="s">
        <v>60</v>
      </c>
      <c r="B173" s="12">
        <v>4996552414</v>
      </c>
      <c r="C173" s="9"/>
    </row>
    <row r="174" spans="1:8" x14ac:dyDescent="0.25">
      <c r="A174" s="6"/>
    </row>
    <row r="175" spans="1:8" x14ac:dyDescent="0.25">
      <c r="A175" s="6"/>
    </row>
    <row r="176" spans="1:8" x14ac:dyDescent="0.25">
      <c r="A176" s="6"/>
    </row>
  </sheetData>
  <sortState xmlns:xlrd2="http://schemas.microsoft.com/office/spreadsheetml/2017/richdata2" ref="C19:G159">
    <sortCondition ref="D19:D159"/>
  </sortState>
  <mergeCells count="155">
    <mergeCell ref="A19:B19"/>
    <mergeCell ref="A20:B20"/>
    <mergeCell ref="A22:B22"/>
    <mergeCell ref="A23:B23"/>
    <mergeCell ref="A24:B24"/>
    <mergeCell ref="A25:B25"/>
    <mergeCell ref="A3:E3"/>
    <mergeCell ref="A4:E4"/>
    <mergeCell ref="A1:E1"/>
    <mergeCell ref="A2:F2"/>
    <mergeCell ref="A17:B18"/>
    <mergeCell ref="C17:C18"/>
    <mergeCell ref="D17:D18"/>
    <mergeCell ref="E17:E18"/>
    <mergeCell ref="A32:B32"/>
    <mergeCell ref="A33:B33"/>
    <mergeCell ref="A34:B34"/>
    <mergeCell ref="A35:B35"/>
    <mergeCell ref="A36:B36"/>
    <mergeCell ref="A37:B37"/>
    <mergeCell ref="A26:B26"/>
    <mergeCell ref="A27:B27"/>
    <mergeCell ref="A28:B28"/>
    <mergeCell ref="A29:B29"/>
    <mergeCell ref="A30:B30"/>
    <mergeCell ref="A31:B31"/>
    <mergeCell ref="A44:B44"/>
    <mergeCell ref="A45:B45"/>
    <mergeCell ref="A46:B46"/>
    <mergeCell ref="A47:B47"/>
    <mergeCell ref="A48:B48"/>
    <mergeCell ref="A49:B49"/>
    <mergeCell ref="A38:B38"/>
    <mergeCell ref="A39:B39"/>
    <mergeCell ref="A40:B40"/>
    <mergeCell ref="A41:B41"/>
    <mergeCell ref="A42:B42"/>
    <mergeCell ref="A43:B43"/>
    <mergeCell ref="A56:B56"/>
    <mergeCell ref="A57:B57"/>
    <mergeCell ref="A58:B58"/>
    <mergeCell ref="A59:B59"/>
    <mergeCell ref="A60:B60"/>
    <mergeCell ref="A61:B61"/>
    <mergeCell ref="A50:B50"/>
    <mergeCell ref="A51:B51"/>
    <mergeCell ref="A52:B52"/>
    <mergeCell ref="A53:B53"/>
    <mergeCell ref="A54:B54"/>
    <mergeCell ref="A55:B55"/>
    <mergeCell ref="A68:B68"/>
    <mergeCell ref="A69:B69"/>
    <mergeCell ref="A70:B70"/>
    <mergeCell ref="A71:B71"/>
    <mergeCell ref="A72:B72"/>
    <mergeCell ref="A73:B73"/>
    <mergeCell ref="A62:B62"/>
    <mergeCell ref="A63:B63"/>
    <mergeCell ref="A64:B64"/>
    <mergeCell ref="A65:B65"/>
    <mergeCell ref="A66:B66"/>
    <mergeCell ref="A67:B67"/>
    <mergeCell ref="A80:B80"/>
    <mergeCell ref="A81:B81"/>
    <mergeCell ref="A82:B82"/>
    <mergeCell ref="A83:B83"/>
    <mergeCell ref="A84:B84"/>
    <mergeCell ref="A85:B85"/>
    <mergeCell ref="A74:B74"/>
    <mergeCell ref="A75:B75"/>
    <mergeCell ref="A76:B76"/>
    <mergeCell ref="A77:B77"/>
    <mergeCell ref="A78:B78"/>
    <mergeCell ref="A79:B79"/>
    <mergeCell ref="A92:B92"/>
    <mergeCell ref="A93:B93"/>
    <mergeCell ref="A94:B94"/>
    <mergeCell ref="A95:B95"/>
    <mergeCell ref="A96:B96"/>
    <mergeCell ref="A97:B97"/>
    <mergeCell ref="A86:B86"/>
    <mergeCell ref="A87:B87"/>
    <mergeCell ref="A88:B88"/>
    <mergeCell ref="A89:B89"/>
    <mergeCell ref="A90:B90"/>
    <mergeCell ref="A91:B91"/>
    <mergeCell ref="A104:B104"/>
    <mergeCell ref="A105:B105"/>
    <mergeCell ref="A106:B106"/>
    <mergeCell ref="A107:B107"/>
    <mergeCell ref="A108:B108"/>
    <mergeCell ref="A109:B109"/>
    <mergeCell ref="A98:B98"/>
    <mergeCell ref="A99:B99"/>
    <mergeCell ref="A100:B100"/>
    <mergeCell ref="A101:B101"/>
    <mergeCell ref="A102:B102"/>
    <mergeCell ref="A103:B103"/>
    <mergeCell ref="A116:B116"/>
    <mergeCell ref="A117:B117"/>
    <mergeCell ref="A118:B118"/>
    <mergeCell ref="A119:B119"/>
    <mergeCell ref="A120:B120"/>
    <mergeCell ref="A121:B121"/>
    <mergeCell ref="A110:B110"/>
    <mergeCell ref="A111:B111"/>
    <mergeCell ref="A112:B112"/>
    <mergeCell ref="A113:B113"/>
    <mergeCell ref="A114:B114"/>
    <mergeCell ref="A115:B115"/>
    <mergeCell ref="A128:B128"/>
    <mergeCell ref="A129:B129"/>
    <mergeCell ref="A130:B130"/>
    <mergeCell ref="A131:B131"/>
    <mergeCell ref="A132:B132"/>
    <mergeCell ref="A133:B133"/>
    <mergeCell ref="A122:B122"/>
    <mergeCell ref="A123:B123"/>
    <mergeCell ref="A124:B124"/>
    <mergeCell ref="A125:B125"/>
    <mergeCell ref="A126:B126"/>
    <mergeCell ref="A127:B127"/>
    <mergeCell ref="A143:B143"/>
    <mergeCell ref="A144:B144"/>
    <mergeCell ref="A145:B145"/>
    <mergeCell ref="A134:B134"/>
    <mergeCell ref="A135:B135"/>
    <mergeCell ref="A136:B136"/>
    <mergeCell ref="A137:B137"/>
    <mergeCell ref="A138:B138"/>
    <mergeCell ref="A139:B139"/>
    <mergeCell ref="A165:G165"/>
    <mergeCell ref="A166:G166"/>
    <mergeCell ref="A167:G167"/>
    <mergeCell ref="A160:B160"/>
    <mergeCell ref="A161:B161"/>
    <mergeCell ref="A162:B162"/>
    <mergeCell ref="A164:G164"/>
    <mergeCell ref="A15:G15"/>
    <mergeCell ref="A16:G16"/>
    <mergeCell ref="A154:B154"/>
    <mergeCell ref="A155:B155"/>
    <mergeCell ref="A156:B156"/>
    <mergeCell ref="A157:B157"/>
    <mergeCell ref="A158:B158"/>
    <mergeCell ref="A159:B159"/>
    <mergeCell ref="A146:B146"/>
    <mergeCell ref="A148:B148"/>
    <mergeCell ref="A149:B149"/>
    <mergeCell ref="A150:B150"/>
    <mergeCell ref="A151:B151"/>
    <mergeCell ref="A153:B153"/>
    <mergeCell ref="A140:B140"/>
    <mergeCell ref="A141:B141"/>
    <mergeCell ref="A142:B142"/>
  </mergeCells>
  <pageMargins left="0.75" right="0.75" top="1" bottom="1" header="0.5" footer="0.5"/>
  <pageSetup scale="62" fitToHeight="0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40"/>
  <sheetViews>
    <sheetView topLeftCell="A16" workbookViewId="0">
      <selection activeCell="E19" sqref="E19"/>
    </sheetView>
  </sheetViews>
  <sheetFormatPr baseColWidth="10" defaultRowHeight="15" x14ac:dyDescent="0.25"/>
  <cols>
    <col min="1" max="1" width="17.85546875" bestFit="1" customWidth="1"/>
    <col min="2" max="2" width="15.28515625" customWidth="1"/>
    <col min="3" max="3" width="16.140625" bestFit="1" customWidth="1"/>
    <col min="4" max="4" width="12.7109375" bestFit="1" customWidth="1"/>
    <col min="5" max="5" width="39.7109375" customWidth="1"/>
    <col min="6" max="6" width="9.5703125" bestFit="1" customWidth="1"/>
    <col min="7" max="7" width="10.7109375" bestFit="1" customWidth="1"/>
  </cols>
  <sheetData>
    <row r="1" spans="1:7" ht="18" x14ac:dyDescent="0.25">
      <c r="A1" s="82" t="s">
        <v>0</v>
      </c>
      <c r="B1" s="82"/>
      <c r="C1" s="82"/>
      <c r="D1" s="82"/>
      <c r="E1" s="82"/>
    </row>
    <row r="2" spans="1:7" x14ac:dyDescent="0.25">
      <c r="A2" s="77"/>
      <c r="B2" s="77"/>
      <c r="C2" s="77"/>
      <c r="D2" s="77"/>
      <c r="E2" s="77"/>
      <c r="F2" s="77"/>
    </row>
    <row r="3" spans="1:7" ht="15" customHeight="1" x14ac:dyDescent="0.25">
      <c r="A3" s="78" t="s">
        <v>1</v>
      </c>
      <c r="B3" s="78"/>
      <c r="C3" s="78"/>
      <c r="D3" s="78"/>
      <c r="E3" s="78"/>
    </row>
    <row r="4" spans="1:7" x14ac:dyDescent="0.25">
      <c r="A4" s="77"/>
      <c r="B4" s="77"/>
      <c r="C4" s="77"/>
      <c r="D4" s="77"/>
      <c r="E4" s="77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43910</v>
      </c>
    </row>
    <row r="8" spans="1:7" x14ac:dyDescent="0.25">
      <c r="A8" s="2" t="s">
        <v>12</v>
      </c>
      <c r="B8" s="1" t="s">
        <v>61</v>
      </c>
      <c r="C8" s="1"/>
      <c r="D8" s="1"/>
      <c r="E8" s="1"/>
    </row>
    <row r="9" spans="1:7" x14ac:dyDescent="0.25">
      <c r="A9" s="1"/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43</v>
      </c>
      <c r="C12" s="1"/>
      <c r="D12" s="2" t="s">
        <v>16</v>
      </c>
      <c r="E12" s="4">
        <v>43908</v>
      </c>
    </row>
    <row r="13" spans="1:7" x14ac:dyDescent="0.25">
      <c r="A13" s="2" t="s">
        <v>17</v>
      </c>
      <c r="B13" s="3">
        <v>6</v>
      </c>
      <c r="C13" s="1"/>
      <c r="D13" s="2" t="s">
        <v>18</v>
      </c>
      <c r="E13" s="4">
        <v>43908</v>
      </c>
    </row>
    <row r="14" spans="1:7" x14ac:dyDescent="0.25">
      <c r="A14" s="2" t="s">
        <v>19</v>
      </c>
      <c r="B14" s="4">
        <v>43908</v>
      </c>
      <c r="C14" s="1"/>
      <c r="D14" s="1"/>
      <c r="E14" s="1"/>
    </row>
    <row r="15" spans="1:7" ht="15" customHeight="1" x14ac:dyDescent="0.25">
      <c r="A15" s="78" t="s">
        <v>20</v>
      </c>
      <c r="B15" s="78"/>
      <c r="C15" s="78"/>
      <c r="D15" s="78"/>
      <c r="E15" s="78"/>
      <c r="F15" s="78"/>
      <c r="G15" s="78"/>
    </row>
    <row r="16" spans="1:7" ht="15.75" thickBot="1" x14ac:dyDescent="0.3">
      <c r="A16" s="77"/>
      <c r="B16" s="77"/>
      <c r="C16" s="77"/>
      <c r="D16" s="77"/>
      <c r="E16" s="77"/>
      <c r="F16" s="77"/>
      <c r="G16" s="77"/>
    </row>
    <row r="17" spans="1:8" x14ac:dyDescent="0.25">
      <c r="A17" s="83" t="s">
        <v>21</v>
      </c>
      <c r="B17" s="84"/>
      <c r="C17" s="84" t="s">
        <v>22</v>
      </c>
      <c r="D17" s="84" t="s">
        <v>23</v>
      </c>
      <c r="E17" s="84" t="s">
        <v>24</v>
      </c>
      <c r="F17" s="16" t="s">
        <v>25</v>
      </c>
      <c r="G17" s="16" t="s">
        <v>27</v>
      </c>
      <c r="H17" s="17" t="s">
        <v>64</v>
      </c>
    </row>
    <row r="18" spans="1:8" ht="15.75" thickBot="1" x14ac:dyDescent="0.3">
      <c r="A18" s="85"/>
      <c r="B18" s="86"/>
      <c r="C18" s="86"/>
      <c r="D18" s="87"/>
      <c r="E18" s="87"/>
      <c r="F18" s="25" t="s">
        <v>26</v>
      </c>
      <c r="G18" s="25" t="s">
        <v>28</v>
      </c>
      <c r="H18" s="18" t="s">
        <v>65</v>
      </c>
    </row>
    <row r="19" spans="1:8" ht="80.099999999999994" customHeight="1" x14ac:dyDescent="0.25">
      <c r="A19" s="89" t="s">
        <v>29</v>
      </c>
      <c r="B19" s="89"/>
      <c r="C19" s="50" t="s">
        <v>30</v>
      </c>
      <c r="D19" s="55" t="s">
        <v>62</v>
      </c>
      <c r="E19" s="56" t="s">
        <v>78</v>
      </c>
      <c r="F19" s="57">
        <v>0</v>
      </c>
      <c r="G19" s="58">
        <v>227506</v>
      </c>
      <c r="H19" s="52"/>
    </row>
    <row r="20" spans="1:8" ht="80.099999999999994" customHeight="1" thickBot="1" x14ac:dyDescent="0.3">
      <c r="A20" s="88" t="s">
        <v>29</v>
      </c>
      <c r="B20" s="88"/>
      <c r="C20" s="51" t="s">
        <v>30</v>
      </c>
      <c r="D20" s="59" t="s">
        <v>62</v>
      </c>
      <c r="E20" s="60" t="s">
        <v>78</v>
      </c>
      <c r="F20" s="61">
        <v>0</v>
      </c>
      <c r="G20" s="62">
        <v>2619952</v>
      </c>
      <c r="H20" s="48"/>
    </row>
    <row r="21" spans="1:8" ht="24.75" customHeight="1" thickBot="1" x14ac:dyDescent="0.3">
      <c r="A21" s="43"/>
      <c r="B21" s="43"/>
      <c r="C21" s="43"/>
      <c r="D21" s="63"/>
      <c r="E21" s="63"/>
      <c r="F21" s="64" t="s">
        <v>67</v>
      </c>
      <c r="G21" s="65">
        <f>SUM(G19:G20)</f>
        <v>2847458</v>
      </c>
      <c r="H21" s="76">
        <v>1246</v>
      </c>
    </row>
    <row r="22" spans="1:8" ht="80.099999999999994" customHeight="1" x14ac:dyDescent="0.25">
      <c r="A22" s="88" t="s">
        <v>29</v>
      </c>
      <c r="B22" s="88"/>
      <c r="C22" s="51" t="s">
        <v>30</v>
      </c>
      <c r="D22" s="55" t="s">
        <v>63</v>
      </c>
      <c r="E22" s="56" t="s">
        <v>79</v>
      </c>
      <c r="F22" s="57">
        <v>0</v>
      </c>
      <c r="G22" s="58">
        <v>1919908</v>
      </c>
      <c r="H22" s="48"/>
    </row>
    <row r="23" spans="1:8" ht="80.099999999999994" customHeight="1" x14ac:dyDescent="0.25">
      <c r="A23" s="88" t="s">
        <v>29</v>
      </c>
      <c r="B23" s="88"/>
      <c r="C23" s="51" t="s">
        <v>30</v>
      </c>
      <c r="D23" s="66" t="s">
        <v>63</v>
      </c>
      <c r="E23" s="67" t="s">
        <v>79</v>
      </c>
      <c r="F23" s="68">
        <v>0</v>
      </c>
      <c r="G23" s="69">
        <v>3613209</v>
      </c>
      <c r="H23" s="48"/>
    </row>
    <row r="24" spans="1:8" ht="80.099999999999994" customHeight="1" x14ac:dyDescent="0.25">
      <c r="A24" s="88" t="s">
        <v>29</v>
      </c>
      <c r="B24" s="88"/>
      <c r="C24" s="51" t="s">
        <v>30</v>
      </c>
      <c r="D24" s="66" t="s">
        <v>63</v>
      </c>
      <c r="E24" s="67" t="s">
        <v>79</v>
      </c>
      <c r="F24" s="68">
        <v>0</v>
      </c>
      <c r="G24" s="69">
        <v>4382291</v>
      </c>
      <c r="H24" s="48"/>
    </row>
    <row r="25" spans="1:8" ht="80.099999999999994" customHeight="1" thickBot="1" x14ac:dyDescent="0.3">
      <c r="A25" s="88" t="s">
        <v>29</v>
      </c>
      <c r="B25" s="88"/>
      <c r="C25" s="51" t="s">
        <v>30</v>
      </c>
      <c r="D25" s="59" t="s">
        <v>63</v>
      </c>
      <c r="E25" s="60" t="s">
        <v>79</v>
      </c>
      <c r="F25" s="61">
        <v>0</v>
      </c>
      <c r="G25" s="62">
        <v>5755833</v>
      </c>
      <c r="H25" s="48"/>
    </row>
    <row r="26" spans="1:8" ht="21" customHeight="1" thickBot="1" x14ac:dyDescent="0.3">
      <c r="A26" s="43"/>
      <c r="B26" s="43"/>
      <c r="C26" s="43"/>
      <c r="D26" s="47"/>
      <c r="E26" s="47"/>
      <c r="F26" s="53" t="s">
        <v>67</v>
      </c>
      <c r="G26" s="54">
        <f>SUM(G22:G25)</f>
        <v>15671241</v>
      </c>
      <c r="H26" s="76">
        <v>1247</v>
      </c>
    </row>
    <row r="27" spans="1:8" ht="18.75" customHeight="1" x14ac:dyDescent="0.25">
      <c r="A27" s="44"/>
      <c r="B27" s="44"/>
      <c r="C27" s="44"/>
      <c r="D27" s="44"/>
      <c r="E27" s="44"/>
      <c r="F27" s="45"/>
      <c r="G27" s="49">
        <f>G21+G26</f>
        <v>18518699</v>
      </c>
      <c r="H27" s="46"/>
    </row>
    <row r="28" spans="1:8" x14ac:dyDescent="0.25">
      <c r="A28" s="80"/>
      <c r="B28" s="80"/>
      <c r="C28" s="80"/>
      <c r="D28" s="80"/>
      <c r="E28" s="80"/>
      <c r="F28" s="80"/>
      <c r="G28" s="80"/>
    </row>
    <row r="29" spans="1:8" x14ac:dyDescent="0.25">
      <c r="A29" s="77"/>
      <c r="B29" s="77"/>
      <c r="C29" s="77"/>
      <c r="D29" s="77"/>
      <c r="E29" s="77"/>
      <c r="F29" s="77"/>
      <c r="G29" s="77"/>
    </row>
    <row r="30" spans="1:8" ht="15" customHeight="1" x14ac:dyDescent="0.25">
      <c r="A30" s="78" t="s">
        <v>54</v>
      </c>
      <c r="B30" s="78"/>
      <c r="C30" s="78"/>
      <c r="D30" s="78"/>
      <c r="E30" s="78"/>
      <c r="F30" s="78"/>
      <c r="G30" s="78"/>
    </row>
    <row r="31" spans="1:8" x14ac:dyDescent="0.25">
      <c r="A31" s="77"/>
      <c r="B31" s="77"/>
      <c r="C31" s="77"/>
      <c r="D31" s="77"/>
      <c r="E31" s="77"/>
      <c r="F31" s="77"/>
      <c r="G31" s="77"/>
    </row>
    <row r="32" spans="1:8" x14ac:dyDescent="0.25">
      <c r="A32" s="7" t="s">
        <v>55</v>
      </c>
      <c r="B32" s="8">
        <v>2534356723</v>
      </c>
      <c r="C32" s="9"/>
    </row>
    <row r="33" spans="1:3" x14ac:dyDescent="0.25">
      <c r="A33" s="7" t="s">
        <v>56</v>
      </c>
      <c r="B33" s="10">
        <v>0</v>
      </c>
      <c r="C33" s="9"/>
    </row>
    <row r="34" spans="1:3" x14ac:dyDescent="0.25">
      <c r="A34" s="7" t="s">
        <v>57</v>
      </c>
      <c r="B34" s="10">
        <v>0</v>
      </c>
      <c r="C34" s="9"/>
    </row>
    <row r="35" spans="1:3" x14ac:dyDescent="0.25">
      <c r="A35" s="7" t="s">
        <v>58</v>
      </c>
      <c r="B35" s="10">
        <v>0</v>
      </c>
      <c r="C35" s="11">
        <f>B35+B36</f>
        <v>18518699</v>
      </c>
    </row>
    <row r="36" spans="1:3" x14ac:dyDescent="0.25">
      <c r="A36" s="7" t="s">
        <v>59</v>
      </c>
      <c r="B36" s="8">
        <v>18518699</v>
      </c>
      <c r="C36" s="9"/>
    </row>
    <row r="37" spans="1:3" x14ac:dyDescent="0.25">
      <c r="A37" s="7" t="s">
        <v>60</v>
      </c>
      <c r="B37" s="12">
        <v>2552875422</v>
      </c>
      <c r="C37" s="9"/>
    </row>
    <row r="38" spans="1:3" x14ac:dyDescent="0.25">
      <c r="A38" s="6"/>
    </row>
    <row r="39" spans="1:3" x14ac:dyDescent="0.25">
      <c r="A39" s="6"/>
    </row>
    <row r="40" spans="1:3" x14ac:dyDescent="0.25">
      <c r="A40" s="6"/>
    </row>
  </sheetData>
  <sortState xmlns:xlrd2="http://schemas.microsoft.com/office/spreadsheetml/2017/richdata2" ref="C19:G25">
    <sortCondition ref="D19:D25"/>
  </sortState>
  <mergeCells count="20">
    <mergeCell ref="A20:B20"/>
    <mergeCell ref="A1:E1"/>
    <mergeCell ref="A2:F2"/>
    <mergeCell ref="A3:E3"/>
    <mergeCell ref="A4:E4"/>
    <mergeCell ref="A15:G15"/>
    <mergeCell ref="A16:G16"/>
    <mergeCell ref="A17:B18"/>
    <mergeCell ref="C17:C18"/>
    <mergeCell ref="D17:D18"/>
    <mergeCell ref="E17:E18"/>
    <mergeCell ref="A19:B19"/>
    <mergeCell ref="A30:G30"/>
    <mergeCell ref="A31:G31"/>
    <mergeCell ref="A22:B22"/>
    <mergeCell ref="A23:B23"/>
    <mergeCell ref="A24:B24"/>
    <mergeCell ref="A25:B25"/>
    <mergeCell ref="A28:G28"/>
    <mergeCell ref="A29:G29"/>
  </mergeCells>
  <pageMargins left="0.7" right="0.7" top="0.75" bottom="0.75" header="0.3" footer="0.3"/>
  <pageSetup scale="67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2020-03-24T22:06:12Z</cp:lastPrinted>
  <dcterms:created xsi:type="dcterms:W3CDTF">2020-03-20T20:13:25Z</dcterms:created>
  <dcterms:modified xsi:type="dcterms:W3CDTF">2020-03-30T15:59:08Z</dcterms:modified>
</cp:coreProperties>
</file>