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EDFD4132-64BA-41E6-9563-2E4F455AAB8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7" i="2" l="1"/>
  <c r="G49" i="2"/>
  <c r="G45" i="2"/>
  <c r="G37" i="2" l="1"/>
  <c r="G28" i="2"/>
  <c r="G72" i="2" s="1"/>
  <c r="C80" i="2" l="1"/>
</calcChain>
</file>

<file path=xl/sharedStrings.xml><?xml version="1.0" encoding="utf-8"?>
<sst xmlns="http://schemas.openxmlformats.org/spreadsheetml/2006/main" count="248" uniqueCount="111">
  <si>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</si>
  <si>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</si>
  <si>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</si>
  <si>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</si>
  <si>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</si>
  <si>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</si>
  <si>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</si>
  <si>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</si>
  <si>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</si>
  <si>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</si>
  <si>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</si>
  <si>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</si>
  <si>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</si>
  <si>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</si>
  <si>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</si>
  <si>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</si>
  <si>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</si>
  <si>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</si>
  <si>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</si>
  <si>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</si>
  <si>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</si>
  <si>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</si>
  <si>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</si>
  <si>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</si>
  <si>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</si>
  <si>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</si>
  <si>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</si>
  <si>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</si>
  <si>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</si>
  <si>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04-03-2020  </t>
  </si>
  <si>
    <t>STGO. VITACURA </t>
  </si>
  <si>
    <t>2064400 </t>
  </si>
  <si>
    <t>STGO.PRINCIPAL </t>
  </si>
  <si>
    <t>0204265 </t>
  </si>
  <si>
    <t>1350039 </t>
  </si>
  <si>
    <t>PAGOS VARIOS DESDE BCO BOSTON</t>
  </si>
  <si>
    <t>0202447 </t>
  </si>
  <si>
    <t>0203973 </t>
  </si>
  <si>
    <t>0202467 </t>
  </si>
  <si>
    <t>0207109 </t>
  </si>
  <si>
    <t>0206990 </t>
  </si>
  <si>
    <t>0216678 </t>
  </si>
  <si>
    <t>0203629 </t>
  </si>
  <si>
    <t>0204065 </t>
  </si>
  <si>
    <t>0208360 </t>
  </si>
  <si>
    <t>0205474 </t>
  </si>
  <si>
    <t>0216637 </t>
  </si>
  <si>
    <t>OSORNO </t>
  </si>
  <si>
    <t>7502550 </t>
  </si>
  <si>
    <t>0209498 </t>
  </si>
  <si>
    <t>0201804 </t>
  </si>
  <si>
    <t>0202446 </t>
  </si>
  <si>
    <t>0202471 </t>
  </si>
  <si>
    <t>0210466 </t>
  </si>
  <si>
    <t>0206503 </t>
  </si>
  <si>
    <t>0205351 </t>
  </si>
  <si>
    <t>0209323 </t>
  </si>
  <si>
    <t>0204266 </t>
  </si>
  <si>
    <t>0202230 </t>
  </si>
  <si>
    <t>STGO. NUNOA </t>
  </si>
  <si>
    <t>2131110 </t>
  </si>
  <si>
    <t>0205719 </t>
  </si>
  <si>
    <t>0203403 </t>
  </si>
  <si>
    <t>0203076 </t>
  </si>
  <si>
    <t>0205459 </t>
  </si>
  <si>
    <t>0205764 </t>
  </si>
  <si>
    <t>05-03-2020  </t>
  </si>
  <si>
    <t>7072985 </t>
  </si>
  <si>
    <t>TRANSFERENCIA INTERNET A BANCO ESTADO S/TC CLIENTE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</si>
  <si>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</si>
  <si>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</si>
  <si>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</si>
  <si>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</si>
  <si>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</si>
  <si>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</si>
  <si>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</si>
  <si>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</si>
  <si>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</si>
  <si>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Comprobantes</t>
  </si>
  <si>
    <t>ABONO PAGO A PROVEEDORES MUNICIPALIDAD DE PUREN</t>
  </si>
  <si>
    <t>ABONO PAGO A PROVEEDORES HOSPITAL LUIS CALVO MACKENNA</t>
  </si>
  <si>
    <t>ABONO PAGO A PROVEEDORES SERVICIO DE SALUD DE VALDIVIA</t>
  </si>
  <si>
    <t>ABONO PAGO A PROVEEDORES HOSPITAL DE LANCO</t>
  </si>
  <si>
    <t>ABONO PAGO A PROVEEDORES HOSPITAL DE BULNES</t>
  </si>
  <si>
    <t>ABONO PAGO A PROVEEDORES HOSPITAL DE SAN CARLOS</t>
  </si>
  <si>
    <t>ABONO PAGO A PROVEEDORES HOSPITAL DE GALVARINO</t>
  </si>
  <si>
    <t>ABONO PAGO A PROVEEDORES HOSPITAL DE CONCEPCION</t>
  </si>
  <si>
    <t>TOTAL</t>
  </si>
  <si>
    <t>ABONO PAGO A PROVEEDORES HOSPITAL DE HUASCO</t>
  </si>
  <si>
    <t>ABONO PAGO A PROVEEDORES MUNICIPALIDAD DE LUMACO</t>
  </si>
  <si>
    <t>ABONO PAGO A PROVEEDORES HOSPITAL DE LAJA</t>
  </si>
  <si>
    <t>ABONO PAGO A PROVEEDORES HOSPITAL DE LA CALERA</t>
  </si>
  <si>
    <t>ABONO PAGO A PROVEEDORES HOSPITAL DE QUILLOTA</t>
  </si>
  <si>
    <t>ABONO PAGO A PROVEEDORES HOSPITAL SALVADOR</t>
  </si>
  <si>
    <t>ABONO PAGO A PROVEEDORES HOSPITAL CLINICO SAN BORJA ARRIARAN</t>
  </si>
  <si>
    <t>ABONO PAGO A PROVEEDORES HOSPITAL LA FLORIDA</t>
  </si>
  <si>
    <t>ABONO PAGO A PROVEEDORES SERVICIO DE SALUD SUR ORIENTE</t>
  </si>
  <si>
    <t>ABONO PAGO A PROVEEDORES SERVICIO DE SALUD NORTE</t>
  </si>
  <si>
    <t>ABONO PAGO A PROVEEDORES MUNICIPALIDAD DE FLORIDA</t>
  </si>
  <si>
    <t>ABONO PAGO A PROVEEDORES HOSPITAL DE LOTA</t>
  </si>
  <si>
    <t>ABONO PAGO A PROVEEDORES HOSPITAL DE COYHAIQUE</t>
  </si>
  <si>
    <t>ABONO PAGO A PROVEEDORES HOSPITAL EL CARMEN</t>
  </si>
  <si>
    <t>ABONO PAGO A PROVEEDORES MUNICIPALIDAD DE TEODORO SCHMIDT</t>
  </si>
  <si>
    <t>ABONO PAGO A PROVEEDORES HOSPITAL CARLOS VAN BUREN</t>
  </si>
  <si>
    <t>ABONO PAGO A PROVEEDORES MUNICIPALIDAD DE MOLINA</t>
  </si>
  <si>
    <t>ABONO PAGO A PROVEEDORES SERVICIO DE SALUD DE ARICA</t>
  </si>
  <si>
    <t>ABONO PAGO A PROVEEDORES HOSPITAL DE CALBUCO</t>
  </si>
  <si>
    <t>DEPOSITO CON DOCUMENTOS MUNICIPALIDAD DE VITACURA</t>
  </si>
  <si>
    <t xml:space="preserve">DEPOSITO CON DOCUMENTOS HECHO POR CENABAST: HOSPITAL DE FELIX BULNES </t>
  </si>
  <si>
    <t>DEPOSITO CON DOCUMENTOS MUNICIPALIDAD DE OSORNO</t>
  </si>
  <si>
    <t>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</si>
</sst>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41" fontId="1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wrapText="1"/>
    </xf>
    <xf numFmtId="3" fontId="21" fillId="0" borderId="0" xfId="0" applyNumberFormat="1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16" fillId="0" borderId="11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21" fillId="0" borderId="21" xfId="0" applyFont="1" applyBorder="1" applyAlignment="1">
      <alignment horizontal="right" wrapText="1"/>
    </xf>
    <xf numFmtId="0" fontId="0" fillId="0" borderId="21" xfId="0" applyBorder="1" applyAlignment="1">
      <alignment wrapText="1"/>
    </xf>
    <xf numFmtId="0" fontId="0" fillId="0" borderId="23" xfId="0" applyBorder="1" applyAlignment="1">
      <alignment wrapText="1"/>
    </xf>
    <xf numFmtId="0" fontId="16" fillId="0" borderId="23" xfId="0" applyFont="1" applyBorder="1" applyAlignment="1">
      <alignment wrapText="1"/>
    </xf>
    <xf numFmtId="0" fontId="21" fillId="0" borderId="24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3" fontId="23" fillId="0" borderId="26" xfId="0" applyNumberFormat="1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23" fillId="0" borderId="18" xfId="0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21" fillId="0" borderId="0" xfId="0" applyFont="1" applyBorder="1" applyAlignment="1">
      <alignment horizontal="right" wrapText="1"/>
    </xf>
    <xf numFmtId="0" fontId="21" fillId="0" borderId="13" xfId="0" applyFont="1" applyBorder="1" applyAlignment="1">
      <alignment horizontal="right" wrapText="1"/>
    </xf>
    <xf numFmtId="0" fontId="21" fillId="0" borderId="16" xfId="0" applyFont="1" applyBorder="1" applyAlignment="1">
      <alignment horizontal="right" wrapText="1"/>
    </xf>
    <xf numFmtId="0" fontId="16" fillId="0" borderId="27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21" fillId="0" borderId="29" xfId="0" applyFont="1" applyBorder="1" applyAlignment="1">
      <alignment horizontal="right" wrapText="1"/>
    </xf>
    <xf numFmtId="41" fontId="21" fillId="0" borderId="11" xfId="44" applyFont="1" applyBorder="1" applyAlignment="1">
      <alignment horizontal="right" wrapText="1"/>
    </xf>
    <xf numFmtId="0" fontId="22" fillId="0" borderId="22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 applyAlignment="1">
      <alignment horizontal="right" wrapText="1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Millares [0]" xfId="44" builtinId="6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85"/>
  <sheetViews>
    <sheetView showGridLines="0" tabSelected="1" topLeftCell="A4" workbookViewId="0">
      <selection activeCell="E12" sqref="E12"/>
    </sheetView>
  </sheetViews>
  <sheetFormatPr baseColWidth="10" defaultRowHeight="15" x14ac:dyDescent="0.25"/>
  <cols>
    <col min="1" max="1" width="17.85546875" bestFit="1" customWidth="1"/>
    <col min="2" max="2" width="14.42578125" customWidth="1"/>
    <col min="3" max="3" width="16.28515625" bestFit="1" customWidth="1"/>
    <col min="4" max="4" width="12.7109375" bestFit="1" customWidth="1"/>
    <col min="5" max="5" width="45.7109375" bestFit="1" customWidth="1"/>
    <col min="6" max="6" width="11.140625" bestFit="1" customWidth="1"/>
    <col min="7" max="7" width="12" bestFit="1" customWidth="1"/>
  </cols>
  <sheetData>
    <row r="1" spans="1:7" ht="18" customHeight="1" x14ac:dyDescent="0.25">
      <c r="A1" s="59" t="s">
        <v>0</v>
      </c>
      <c r="B1" s="59"/>
      <c r="C1" s="59"/>
      <c r="D1" s="59"/>
      <c r="E1" s="59"/>
    </row>
    <row r="2" spans="1:7" x14ac:dyDescent="0.25">
      <c r="A2" s="58"/>
      <c r="B2" s="58"/>
      <c r="C2" s="58"/>
      <c r="D2" s="58"/>
      <c r="E2" s="58"/>
      <c r="F2" s="58"/>
    </row>
    <row r="3" spans="1:7" ht="15" customHeight="1" x14ac:dyDescent="0.25">
      <c r="A3" s="57" t="s">
        <v>1</v>
      </c>
      <c r="B3" s="57"/>
      <c r="C3" s="57"/>
      <c r="D3" s="57"/>
      <c r="E3" s="57"/>
    </row>
    <row r="4" spans="1:7" x14ac:dyDescent="0.25">
      <c r="A4" s="58"/>
      <c r="B4" s="58"/>
      <c r="C4" s="58"/>
      <c r="D4" s="58"/>
      <c r="E4" s="58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19" t="s">
        <v>78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45</v>
      </c>
      <c r="C12" s="1"/>
      <c r="D12" s="2" t="s">
        <v>16</v>
      </c>
      <c r="E12" s="4">
        <v>43894</v>
      </c>
    </row>
    <row r="13" spans="1:7" x14ac:dyDescent="0.25">
      <c r="A13" s="2" t="s">
        <v>17</v>
      </c>
      <c r="B13" s="3">
        <v>48</v>
      </c>
      <c r="C13" s="1"/>
      <c r="D13" s="2" t="s">
        <v>18</v>
      </c>
      <c r="E13" s="4">
        <v>43895</v>
      </c>
    </row>
    <row r="14" spans="1:7" x14ac:dyDescent="0.25">
      <c r="A14" s="2" t="s">
        <v>19</v>
      </c>
      <c r="B14" s="4">
        <v>43894</v>
      </c>
      <c r="C14" s="1"/>
      <c r="D14" s="1"/>
      <c r="E14" s="1"/>
    </row>
    <row r="15" spans="1:7" ht="15" customHeight="1" x14ac:dyDescent="0.25">
      <c r="A15" s="57" t="s">
        <v>20</v>
      </c>
      <c r="B15" s="57"/>
      <c r="C15" s="57"/>
      <c r="D15" s="57"/>
      <c r="E15" s="57"/>
      <c r="F15" s="57"/>
      <c r="G15" s="57"/>
    </row>
    <row r="16" spans="1:7" ht="15.75" thickBot="1" x14ac:dyDescent="0.3">
      <c r="A16" s="58"/>
      <c r="B16" s="58"/>
      <c r="C16" s="58"/>
      <c r="D16" s="58"/>
      <c r="E16" s="58"/>
      <c r="F16" s="58"/>
      <c r="G16" s="58"/>
    </row>
    <row r="17" spans="1:8" x14ac:dyDescent="0.25">
      <c r="A17" s="60" t="s">
        <v>21</v>
      </c>
      <c r="B17" s="61"/>
      <c r="C17" s="61" t="s">
        <v>22</v>
      </c>
      <c r="D17" s="61" t="s">
        <v>23</v>
      </c>
      <c r="E17" s="61" t="s">
        <v>24</v>
      </c>
      <c r="F17" s="15" t="s">
        <v>25</v>
      </c>
      <c r="G17" s="15" t="s">
        <v>27</v>
      </c>
      <c r="H17" s="16" t="s">
        <v>76</v>
      </c>
    </row>
    <row r="18" spans="1:8" ht="15.75" thickBot="1" x14ac:dyDescent="0.3">
      <c r="A18" s="62"/>
      <c r="B18" s="63"/>
      <c r="C18" s="63"/>
      <c r="D18" s="63"/>
      <c r="E18" s="63"/>
      <c r="F18" s="17" t="s">
        <v>26</v>
      </c>
      <c r="G18" s="17" t="s">
        <v>28</v>
      </c>
      <c r="H18" s="18" t="s">
        <v>77</v>
      </c>
    </row>
    <row r="19" spans="1:8" ht="32.25" thickBot="1" x14ac:dyDescent="0.4">
      <c r="A19" s="65" t="s">
        <v>29</v>
      </c>
      <c r="B19" s="65"/>
      <c r="C19" s="14" t="s">
        <v>32</v>
      </c>
      <c r="D19" s="14" t="s">
        <v>50</v>
      </c>
      <c r="E19" s="24" t="s">
        <v>79</v>
      </c>
      <c r="F19" s="25">
        <v>0</v>
      </c>
      <c r="G19" s="26">
        <v>167233</v>
      </c>
      <c r="H19" s="54">
        <v>996</v>
      </c>
    </row>
    <row r="20" spans="1:8" ht="32.25" thickBot="1" x14ac:dyDescent="0.4">
      <c r="A20" s="64" t="s">
        <v>29</v>
      </c>
      <c r="B20" s="64"/>
      <c r="C20" s="8" t="s">
        <v>32</v>
      </c>
      <c r="D20" s="8" t="s">
        <v>58</v>
      </c>
      <c r="E20" s="27" t="s">
        <v>80</v>
      </c>
      <c r="F20" s="28">
        <v>0</v>
      </c>
      <c r="G20" s="26">
        <v>2924873</v>
      </c>
      <c r="H20" s="53">
        <v>997</v>
      </c>
    </row>
    <row r="21" spans="1:8" ht="32.25" thickBot="1" x14ac:dyDescent="0.4">
      <c r="A21" s="64" t="s">
        <v>29</v>
      </c>
      <c r="B21" s="64"/>
      <c r="C21" s="8" t="s">
        <v>32</v>
      </c>
      <c r="D21" s="8" t="s">
        <v>51</v>
      </c>
      <c r="E21" s="27" t="s">
        <v>81</v>
      </c>
      <c r="F21" s="28">
        <v>0</v>
      </c>
      <c r="G21" s="26">
        <v>220647</v>
      </c>
      <c r="H21" s="54">
        <v>998</v>
      </c>
    </row>
    <row r="22" spans="1:8" ht="32.25" thickBot="1" x14ac:dyDescent="0.4">
      <c r="A22" s="64" t="s">
        <v>29</v>
      </c>
      <c r="B22" s="64"/>
      <c r="C22" s="8" t="s">
        <v>32</v>
      </c>
      <c r="D22" s="8" t="s">
        <v>36</v>
      </c>
      <c r="E22" s="27" t="s">
        <v>82</v>
      </c>
      <c r="F22" s="28">
        <v>0</v>
      </c>
      <c r="G22" s="26">
        <v>4278</v>
      </c>
      <c r="H22" s="53">
        <v>999</v>
      </c>
    </row>
    <row r="23" spans="1:8" ht="32.25" thickBot="1" x14ac:dyDescent="0.4">
      <c r="A23" s="64" t="s">
        <v>29</v>
      </c>
      <c r="B23" s="64"/>
      <c r="C23" s="8" t="s">
        <v>32</v>
      </c>
      <c r="D23" s="8" t="s">
        <v>38</v>
      </c>
      <c r="E23" s="27" t="s">
        <v>83</v>
      </c>
      <c r="F23" s="28">
        <v>0</v>
      </c>
      <c r="G23" s="26">
        <v>17896</v>
      </c>
      <c r="H23" s="54">
        <v>1000</v>
      </c>
    </row>
    <row r="24" spans="1:8" ht="32.25" thickBot="1" x14ac:dyDescent="0.4">
      <c r="A24" s="64" t="s">
        <v>29</v>
      </c>
      <c r="B24" s="64"/>
      <c r="C24" s="8" t="s">
        <v>32</v>
      </c>
      <c r="D24" s="8" t="s">
        <v>52</v>
      </c>
      <c r="E24" s="27" t="s">
        <v>84</v>
      </c>
      <c r="F24" s="28">
        <v>0</v>
      </c>
      <c r="G24" s="26">
        <v>223388</v>
      </c>
      <c r="H24" s="53">
        <v>1001</v>
      </c>
    </row>
    <row r="25" spans="1:8" ht="32.25" thickBot="1" x14ac:dyDescent="0.4">
      <c r="A25" s="64" t="s">
        <v>29</v>
      </c>
      <c r="B25" s="64"/>
      <c r="C25" s="8" t="s">
        <v>32</v>
      </c>
      <c r="D25" s="30" t="s">
        <v>63</v>
      </c>
      <c r="E25" s="31" t="s">
        <v>85</v>
      </c>
      <c r="F25" s="32">
        <v>0</v>
      </c>
      <c r="G25" s="33">
        <v>7472469</v>
      </c>
      <c r="H25" s="54">
        <v>1002</v>
      </c>
    </row>
    <row r="26" spans="1:8" ht="31.5" x14ac:dyDescent="0.35">
      <c r="A26" s="64" t="s">
        <v>29</v>
      </c>
      <c r="B26" s="64"/>
      <c r="C26" s="29" t="s">
        <v>32</v>
      </c>
      <c r="D26" s="38" t="s">
        <v>62</v>
      </c>
      <c r="E26" s="35" t="s">
        <v>86</v>
      </c>
      <c r="F26" s="39">
        <v>0</v>
      </c>
      <c r="G26" s="36">
        <v>6248835</v>
      </c>
      <c r="H26" s="53"/>
    </row>
    <row r="27" spans="1:8" ht="32.25" thickBot="1" x14ac:dyDescent="0.4">
      <c r="A27" s="64" t="s">
        <v>29</v>
      </c>
      <c r="B27" s="64"/>
      <c r="C27" s="29" t="s">
        <v>32</v>
      </c>
      <c r="D27" s="40" t="s">
        <v>62</v>
      </c>
      <c r="E27" s="37" t="s">
        <v>86</v>
      </c>
      <c r="F27" s="41">
        <v>0</v>
      </c>
      <c r="G27" s="42">
        <v>7230573</v>
      </c>
      <c r="H27" s="53"/>
    </row>
    <row r="28" spans="1:8" ht="21.75" thickBot="1" x14ac:dyDescent="0.4">
      <c r="A28" s="20"/>
      <c r="B28" s="20"/>
      <c r="C28" s="20"/>
      <c r="D28" s="21"/>
      <c r="E28" s="21"/>
      <c r="F28" s="25" t="s">
        <v>87</v>
      </c>
      <c r="G28" s="34">
        <f>SUM(G26:G27)</f>
        <v>13479408</v>
      </c>
      <c r="H28" s="53">
        <v>1003</v>
      </c>
    </row>
    <row r="29" spans="1:8" ht="32.25" thickBot="1" x14ac:dyDescent="0.4">
      <c r="A29" s="64" t="s">
        <v>29</v>
      </c>
      <c r="B29" s="64"/>
      <c r="C29" s="8" t="s">
        <v>32</v>
      </c>
      <c r="D29" s="8" t="s">
        <v>42</v>
      </c>
      <c r="E29" s="27" t="s">
        <v>88</v>
      </c>
      <c r="F29" s="28">
        <v>0</v>
      </c>
      <c r="G29" s="26">
        <v>35792</v>
      </c>
      <c r="H29" s="53">
        <v>1004</v>
      </c>
    </row>
    <row r="30" spans="1:8" ht="32.25" thickBot="1" x14ac:dyDescent="0.4">
      <c r="A30" s="64" t="s">
        <v>29</v>
      </c>
      <c r="B30" s="64"/>
      <c r="C30" s="8" t="s">
        <v>32</v>
      </c>
      <c r="D30" s="8" t="s">
        <v>37</v>
      </c>
      <c r="E30" s="27" t="s">
        <v>89</v>
      </c>
      <c r="F30" s="28">
        <v>0</v>
      </c>
      <c r="G30" s="26">
        <v>10657</v>
      </c>
      <c r="H30" s="53">
        <v>1005</v>
      </c>
    </row>
    <row r="31" spans="1:8" ht="20.25" customHeight="1" thickBot="1" x14ac:dyDescent="0.4">
      <c r="A31" s="64" t="s">
        <v>29</v>
      </c>
      <c r="B31" s="64"/>
      <c r="C31" s="8" t="s">
        <v>32</v>
      </c>
      <c r="D31" s="8" t="s">
        <v>43</v>
      </c>
      <c r="E31" s="27" t="s">
        <v>90</v>
      </c>
      <c r="F31" s="28">
        <v>0</v>
      </c>
      <c r="G31" s="26">
        <v>41057</v>
      </c>
      <c r="H31" s="53">
        <v>1006</v>
      </c>
    </row>
    <row r="32" spans="1:8" ht="32.25" thickBot="1" x14ac:dyDescent="0.4">
      <c r="A32" s="64" t="s">
        <v>29</v>
      </c>
      <c r="B32" s="64"/>
      <c r="C32" s="8" t="s">
        <v>32</v>
      </c>
      <c r="D32" s="8" t="s">
        <v>33</v>
      </c>
      <c r="E32" s="27" t="s">
        <v>91</v>
      </c>
      <c r="F32" s="28">
        <v>0</v>
      </c>
      <c r="G32" s="43">
        <v>715</v>
      </c>
      <c r="H32" s="53">
        <v>1007</v>
      </c>
    </row>
    <row r="33" spans="1:8" ht="32.25" thickBot="1" x14ac:dyDescent="0.4">
      <c r="A33" s="64" t="s">
        <v>29</v>
      </c>
      <c r="B33" s="64"/>
      <c r="C33" s="8" t="s">
        <v>32</v>
      </c>
      <c r="D33" s="8" t="s">
        <v>57</v>
      </c>
      <c r="E33" s="27" t="s">
        <v>92</v>
      </c>
      <c r="F33" s="28">
        <v>0</v>
      </c>
      <c r="G33" s="26">
        <v>2888439</v>
      </c>
      <c r="H33" s="53">
        <v>1008</v>
      </c>
    </row>
    <row r="34" spans="1:8" ht="32.25" thickBot="1" x14ac:dyDescent="0.4">
      <c r="A34" s="64" t="s">
        <v>29</v>
      </c>
      <c r="B34" s="64"/>
      <c r="C34" s="8" t="s">
        <v>32</v>
      </c>
      <c r="D34" s="30" t="s">
        <v>55</v>
      </c>
      <c r="E34" s="31" t="s">
        <v>93</v>
      </c>
      <c r="F34" s="32">
        <v>0</v>
      </c>
      <c r="G34" s="33">
        <v>1079795</v>
      </c>
      <c r="H34" s="53">
        <v>1009</v>
      </c>
    </row>
    <row r="35" spans="1:8" ht="31.5" x14ac:dyDescent="0.35">
      <c r="A35" s="64" t="s">
        <v>29</v>
      </c>
      <c r="B35" s="64"/>
      <c r="C35" s="29" t="s">
        <v>32</v>
      </c>
      <c r="D35" s="38" t="s">
        <v>64</v>
      </c>
      <c r="E35" s="35" t="s">
        <v>94</v>
      </c>
      <c r="F35" s="39">
        <v>0</v>
      </c>
      <c r="G35" s="36">
        <v>8117837</v>
      </c>
      <c r="H35" s="53"/>
    </row>
    <row r="36" spans="1:8" ht="32.25" thickBot="1" x14ac:dyDescent="0.4">
      <c r="A36" s="64" t="s">
        <v>29</v>
      </c>
      <c r="B36" s="64"/>
      <c r="C36" s="29" t="s">
        <v>32</v>
      </c>
      <c r="D36" s="40" t="s">
        <v>64</v>
      </c>
      <c r="E36" s="37" t="s">
        <v>94</v>
      </c>
      <c r="F36" s="41">
        <v>0</v>
      </c>
      <c r="G36" s="42">
        <v>12580801</v>
      </c>
      <c r="H36" s="53"/>
    </row>
    <row r="37" spans="1:8" ht="21.75" thickBot="1" x14ac:dyDescent="0.4">
      <c r="A37" s="20"/>
      <c r="B37" s="20"/>
      <c r="C37" s="20"/>
      <c r="D37" s="21"/>
      <c r="E37" s="21"/>
      <c r="F37" s="25" t="s">
        <v>87</v>
      </c>
      <c r="G37" s="34">
        <f>SUM(G35:G36)</f>
        <v>20698638</v>
      </c>
      <c r="H37" s="53">
        <v>1010</v>
      </c>
    </row>
    <row r="38" spans="1:8" ht="32.25" thickBot="1" x14ac:dyDescent="0.4">
      <c r="A38" s="64" t="s">
        <v>29</v>
      </c>
      <c r="B38" s="64"/>
      <c r="C38" s="8" t="s">
        <v>32</v>
      </c>
      <c r="D38" s="8" t="s">
        <v>45</v>
      </c>
      <c r="E38" s="27" t="s">
        <v>95</v>
      </c>
      <c r="F38" s="28">
        <v>0</v>
      </c>
      <c r="G38" s="26">
        <v>80218</v>
      </c>
      <c r="H38" s="53">
        <v>1011</v>
      </c>
    </row>
    <row r="39" spans="1:8" ht="32.25" thickBot="1" x14ac:dyDescent="0.4">
      <c r="A39" s="64" t="s">
        <v>29</v>
      </c>
      <c r="B39" s="64"/>
      <c r="C39" s="8" t="s">
        <v>32</v>
      </c>
      <c r="D39" s="8" t="s">
        <v>61</v>
      </c>
      <c r="E39" s="27" t="s">
        <v>96</v>
      </c>
      <c r="F39" s="28">
        <v>0</v>
      </c>
      <c r="G39" s="26">
        <v>4544479</v>
      </c>
      <c r="H39" s="53">
        <v>1012</v>
      </c>
    </row>
    <row r="40" spans="1:8" ht="32.25" thickBot="1" x14ac:dyDescent="0.4">
      <c r="A40" s="64" t="s">
        <v>29</v>
      </c>
      <c r="B40" s="64"/>
      <c r="C40" s="8" t="s">
        <v>32</v>
      </c>
      <c r="D40" s="8" t="s">
        <v>65</v>
      </c>
      <c r="E40" s="27" t="s">
        <v>97</v>
      </c>
      <c r="F40" s="28">
        <v>0</v>
      </c>
      <c r="G40" s="26">
        <v>13399811</v>
      </c>
      <c r="H40" s="53">
        <v>1013</v>
      </c>
    </row>
    <row r="41" spans="1:8" ht="32.25" thickBot="1" x14ac:dyDescent="0.4">
      <c r="A41" s="64" t="s">
        <v>29</v>
      </c>
      <c r="B41" s="64"/>
      <c r="C41" s="8" t="s">
        <v>32</v>
      </c>
      <c r="D41" s="30" t="s">
        <v>54</v>
      </c>
      <c r="E41" s="31" t="s">
        <v>98</v>
      </c>
      <c r="F41" s="32">
        <v>0</v>
      </c>
      <c r="G41" s="33">
        <v>563405</v>
      </c>
      <c r="H41" s="53">
        <v>1014</v>
      </c>
    </row>
    <row r="42" spans="1:8" ht="19.5" customHeight="1" x14ac:dyDescent="0.35">
      <c r="A42" s="64" t="s">
        <v>29</v>
      </c>
      <c r="B42" s="64"/>
      <c r="C42" s="29" t="s">
        <v>32</v>
      </c>
      <c r="D42" s="38" t="s">
        <v>40</v>
      </c>
      <c r="E42" s="35" t="s">
        <v>99</v>
      </c>
      <c r="F42" s="39">
        <v>0</v>
      </c>
      <c r="G42" s="36">
        <v>25490</v>
      </c>
      <c r="H42" s="53"/>
    </row>
    <row r="43" spans="1:8" ht="18.75" customHeight="1" x14ac:dyDescent="0.35">
      <c r="A43" s="64" t="s">
        <v>29</v>
      </c>
      <c r="B43" s="64"/>
      <c r="C43" s="29" t="s">
        <v>32</v>
      </c>
      <c r="D43" s="48" t="s">
        <v>40</v>
      </c>
      <c r="E43" s="44" t="s">
        <v>99</v>
      </c>
      <c r="F43" s="49">
        <v>0</v>
      </c>
      <c r="G43" s="50">
        <v>1673901</v>
      </c>
      <c r="H43" s="53"/>
    </row>
    <row r="44" spans="1:8" ht="18.75" customHeight="1" thickBot="1" x14ac:dyDescent="0.4">
      <c r="A44" s="64" t="s">
        <v>29</v>
      </c>
      <c r="B44" s="64"/>
      <c r="C44" s="29" t="s">
        <v>32</v>
      </c>
      <c r="D44" s="40" t="s">
        <v>40</v>
      </c>
      <c r="E44" s="37" t="s">
        <v>99</v>
      </c>
      <c r="F44" s="41">
        <v>0</v>
      </c>
      <c r="G44" s="42">
        <v>2418028</v>
      </c>
      <c r="H44" s="53"/>
    </row>
    <row r="45" spans="1:8" ht="21.75" thickBot="1" x14ac:dyDescent="0.4">
      <c r="A45" s="22"/>
      <c r="B45" s="22"/>
      <c r="C45" s="22"/>
      <c r="D45" s="23"/>
      <c r="E45" s="23"/>
      <c r="F45" s="25" t="s">
        <v>87</v>
      </c>
      <c r="G45" s="34">
        <f>SUM(G42:G44)</f>
        <v>4117419</v>
      </c>
      <c r="H45" s="53">
        <v>1015</v>
      </c>
    </row>
    <row r="46" spans="1:8" ht="32.25" thickBot="1" x14ac:dyDescent="0.4">
      <c r="A46" s="64" t="s">
        <v>29</v>
      </c>
      <c r="B46" s="64"/>
      <c r="C46" s="8" t="s">
        <v>32</v>
      </c>
      <c r="D46" s="30" t="s">
        <v>39</v>
      </c>
      <c r="E46" s="31" t="s">
        <v>100</v>
      </c>
      <c r="F46" s="32">
        <v>0</v>
      </c>
      <c r="G46" s="33">
        <v>20353</v>
      </c>
      <c r="H46" s="53">
        <v>1016</v>
      </c>
    </row>
    <row r="47" spans="1:8" ht="31.5" x14ac:dyDescent="0.35">
      <c r="A47" s="64" t="s">
        <v>29</v>
      </c>
      <c r="B47" s="64"/>
      <c r="C47" s="29" t="s">
        <v>32</v>
      </c>
      <c r="D47" s="38" t="s">
        <v>44</v>
      </c>
      <c r="E47" s="35" t="s">
        <v>101</v>
      </c>
      <c r="F47" s="39">
        <v>0</v>
      </c>
      <c r="G47" s="36">
        <v>55437</v>
      </c>
      <c r="H47" s="53"/>
    </row>
    <row r="48" spans="1:8" ht="32.25" thickBot="1" x14ac:dyDescent="0.4">
      <c r="A48" s="64" t="s">
        <v>29</v>
      </c>
      <c r="B48" s="64"/>
      <c r="C48" s="29" t="s">
        <v>32</v>
      </c>
      <c r="D48" s="40" t="s">
        <v>44</v>
      </c>
      <c r="E48" s="37" t="s">
        <v>101</v>
      </c>
      <c r="F48" s="41">
        <v>0</v>
      </c>
      <c r="G48" s="42">
        <v>501008</v>
      </c>
      <c r="H48" s="53"/>
    </row>
    <row r="49" spans="1:8" ht="21.75" thickBot="1" x14ac:dyDescent="0.4">
      <c r="A49" s="22"/>
      <c r="B49" s="22"/>
      <c r="C49" s="22"/>
      <c r="D49" s="23"/>
      <c r="E49" s="23"/>
      <c r="F49" s="25" t="s">
        <v>87</v>
      </c>
      <c r="G49" s="34">
        <f>SUM(G47:G48)</f>
        <v>556445</v>
      </c>
      <c r="H49" s="53">
        <v>1017</v>
      </c>
    </row>
    <row r="50" spans="1:8" ht="32.25" thickBot="1" x14ac:dyDescent="0.4">
      <c r="A50" s="64" t="s">
        <v>29</v>
      </c>
      <c r="B50" s="64"/>
      <c r="C50" s="8" t="s">
        <v>32</v>
      </c>
      <c r="D50" s="8" t="s">
        <v>56</v>
      </c>
      <c r="E50" s="27" t="s">
        <v>102</v>
      </c>
      <c r="F50" s="28">
        <v>0</v>
      </c>
      <c r="G50" s="26">
        <v>2843543</v>
      </c>
      <c r="H50" s="53">
        <v>1018</v>
      </c>
    </row>
    <row r="51" spans="1:8" ht="32.25" thickBot="1" x14ac:dyDescent="0.4">
      <c r="A51" s="64" t="s">
        <v>29</v>
      </c>
      <c r="B51" s="64"/>
      <c r="C51" s="8" t="s">
        <v>32</v>
      </c>
      <c r="D51" s="8" t="s">
        <v>49</v>
      </c>
      <c r="E51" s="27" t="s">
        <v>103</v>
      </c>
      <c r="F51" s="28">
        <v>0</v>
      </c>
      <c r="G51" s="26">
        <v>148073</v>
      </c>
      <c r="H51" s="53">
        <v>1019</v>
      </c>
    </row>
    <row r="52" spans="1:8" ht="32.25" thickBot="1" x14ac:dyDescent="0.4">
      <c r="A52" s="64" t="s">
        <v>29</v>
      </c>
      <c r="B52" s="64"/>
      <c r="C52" s="8" t="s">
        <v>32</v>
      </c>
      <c r="D52" s="8" t="s">
        <v>53</v>
      </c>
      <c r="E52" s="27" t="s">
        <v>104</v>
      </c>
      <c r="F52" s="28">
        <v>0</v>
      </c>
      <c r="G52" s="26">
        <v>323687</v>
      </c>
      <c r="H52" s="53">
        <v>1020</v>
      </c>
    </row>
    <row r="53" spans="1:8" ht="32.25" thickBot="1" x14ac:dyDescent="0.4">
      <c r="A53" s="64" t="s">
        <v>29</v>
      </c>
      <c r="B53" s="64"/>
      <c r="C53" s="8" t="s">
        <v>32</v>
      </c>
      <c r="D53" s="8" t="s">
        <v>46</v>
      </c>
      <c r="E53" s="27" t="s">
        <v>105</v>
      </c>
      <c r="F53" s="28">
        <v>0</v>
      </c>
      <c r="G53" s="26">
        <v>96775</v>
      </c>
      <c r="H53" s="53">
        <v>1021</v>
      </c>
    </row>
    <row r="54" spans="1:8" ht="32.25" thickBot="1" x14ac:dyDescent="0.4">
      <c r="A54" s="64" t="s">
        <v>29</v>
      </c>
      <c r="B54" s="64"/>
      <c r="C54" s="8" t="s">
        <v>32</v>
      </c>
      <c r="D54" s="8" t="s">
        <v>41</v>
      </c>
      <c r="E54" s="31" t="s">
        <v>106</v>
      </c>
      <c r="F54" s="32">
        <v>0</v>
      </c>
      <c r="G54" s="33">
        <v>26739</v>
      </c>
      <c r="H54" s="53">
        <v>1022</v>
      </c>
    </row>
    <row r="55" spans="1:8" ht="20.100000000000001" customHeight="1" x14ac:dyDescent="0.25">
      <c r="A55" s="64" t="s">
        <v>29</v>
      </c>
      <c r="B55" s="64"/>
      <c r="C55" s="8" t="s">
        <v>32</v>
      </c>
      <c r="D55" s="29" t="s">
        <v>34</v>
      </c>
      <c r="E55" s="38" t="s">
        <v>35</v>
      </c>
      <c r="F55" s="46">
        <v>0</v>
      </c>
      <c r="G55" s="36">
        <v>1374</v>
      </c>
      <c r="H55" s="56" t="s">
        <v>110</v>
      </c>
    </row>
    <row r="56" spans="1:8" ht="20.100000000000001" customHeight="1" x14ac:dyDescent="0.25">
      <c r="A56" s="64" t="s">
        <v>29</v>
      </c>
      <c r="B56" s="64"/>
      <c r="C56" s="8" t="s">
        <v>32</v>
      </c>
      <c r="D56" s="29" t="s">
        <v>34</v>
      </c>
      <c r="E56" s="48" t="s">
        <v>35</v>
      </c>
      <c r="F56" s="45">
        <v>0</v>
      </c>
      <c r="G56" s="50">
        <v>4032</v>
      </c>
      <c r="H56" s="56" t="s">
        <v>110</v>
      </c>
    </row>
    <row r="57" spans="1:8" ht="20.100000000000001" customHeight="1" x14ac:dyDescent="0.25">
      <c r="A57" s="64" t="s">
        <v>29</v>
      </c>
      <c r="B57" s="64"/>
      <c r="C57" s="8" t="s">
        <v>32</v>
      </c>
      <c r="D57" s="29" t="s">
        <v>34</v>
      </c>
      <c r="E57" s="48" t="s">
        <v>35</v>
      </c>
      <c r="F57" s="45">
        <v>0</v>
      </c>
      <c r="G57" s="50">
        <v>10621</v>
      </c>
      <c r="H57" s="56" t="s">
        <v>110</v>
      </c>
    </row>
    <row r="58" spans="1:8" ht="20.100000000000001" customHeight="1" x14ac:dyDescent="0.25">
      <c r="A58" s="64" t="s">
        <v>29</v>
      </c>
      <c r="B58" s="64"/>
      <c r="C58" s="8" t="s">
        <v>32</v>
      </c>
      <c r="D58" s="29" t="s">
        <v>34</v>
      </c>
      <c r="E58" s="48" t="s">
        <v>35</v>
      </c>
      <c r="F58" s="45">
        <v>0</v>
      </c>
      <c r="G58" s="50">
        <v>13261</v>
      </c>
      <c r="H58" s="56" t="s">
        <v>110</v>
      </c>
    </row>
    <row r="59" spans="1:8" ht="20.100000000000001" customHeight="1" x14ac:dyDescent="0.25">
      <c r="A59" s="64" t="s">
        <v>29</v>
      </c>
      <c r="B59" s="64"/>
      <c r="C59" s="8" t="s">
        <v>32</v>
      </c>
      <c r="D59" s="29" t="s">
        <v>34</v>
      </c>
      <c r="E59" s="48" t="s">
        <v>35</v>
      </c>
      <c r="F59" s="45">
        <v>0</v>
      </c>
      <c r="G59" s="50">
        <v>13994</v>
      </c>
      <c r="H59" s="56" t="s">
        <v>110</v>
      </c>
    </row>
    <row r="60" spans="1:8" ht="20.100000000000001" customHeight="1" x14ac:dyDescent="0.25">
      <c r="A60" s="64" t="s">
        <v>29</v>
      </c>
      <c r="B60" s="64"/>
      <c r="C60" s="8" t="s">
        <v>32</v>
      </c>
      <c r="D60" s="29" t="s">
        <v>34</v>
      </c>
      <c r="E60" s="48" t="s">
        <v>35</v>
      </c>
      <c r="F60" s="45">
        <v>0</v>
      </c>
      <c r="G60" s="50">
        <v>15102</v>
      </c>
      <c r="H60" s="56" t="s">
        <v>110</v>
      </c>
    </row>
    <row r="61" spans="1:8" ht="20.100000000000001" customHeight="1" x14ac:dyDescent="0.25">
      <c r="A61" s="64" t="s">
        <v>29</v>
      </c>
      <c r="B61" s="64"/>
      <c r="C61" s="8" t="s">
        <v>32</v>
      </c>
      <c r="D61" s="29" t="s">
        <v>34</v>
      </c>
      <c r="E61" s="48" t="s">
        <v>35</v>
      </c>
      <c r="F61" s="45">
        <v>0</v>
      </c>
      <c r="G61" s="50">
        <v>19067</v>
      </c>
      <c r="H61" s="56" t="s">
        <v>110</v>
      </c>
    </row>
    <row r="62" spans="1:8" ht="20.100000000000001" customHeight="1" x14ac:dyDescent="0.25">
      <c r="A62" s="64" t="s">
        <v>29</v>
      </c>
      <c r="B62" s="64"/>
      <c r="C62" s="8" t="s">
        <v>32</v>
      </c>
      <c r="D62" s="29" t="s">
        <v>34</v>
      </c>
      <c r="E62" s="48" t="s">
        <v>35</v>
      </c>
      <c r="F62" s="45">
        <v>0</v>
      </c>
      <c r="G62" s="50">
        <v>23491</v>
      </c>
      <c r="H62" s="56" t="s">
        <v>110</v>
      </c>
    </row>
    <row r="63" spans="1:8" ht="20.100000000000001" customHeight="1" x14ac:dyDescent="0.25">
      <c r="A63" s="64" t="s">
        <v>29</v>
      </c>
      <c r="B63" s="64"/>
      <c r="C63" s="8" t="s">
        <v>32</v>
      </c>
      <c r="D63" s="29" t="s">
        <v>34</v>
      </c>
      <c r="E63" s="48" t="s">
        <v>35</v>
      </c>
      <c r="F63" s="45">
        <v>0</v>
      </c>
      <c r="G63" s="50">
        <v>27073</v>
      </c>
      <c r="H63" s="56" t="s">
        <v>110</v>
      </c>
    </row>
    <row r="64" spans="1:8" ht="20.100000000000001" customHeight="1" x14ac:dyDescent="0.25">
      <c r="A64" s="64" t="s">
        <v>29</v>
      </c>
      <c r="B64" s="64"/>
      <c r="C64" s="8" t="s">
        <v>32</v>
      </c>
      <c r="D64" s="29" t="s">
        <v>34</v>
      </c>
      <c r="E64" s="48" t="s">
        <v>35</v>
      </c>
      <c r="F64" s="45">
        <v>0</v>
      </c>
      <c r="G64" s="50">
        <v>29613</v>
      </c>
      <c r="H64" s="56" t="s">
        <v>110</v>
      </c>
    </row>
    <row r="65" spans="1:8" ht="20.100000000000001" customHeight="1" x14ac:dyDescent="0.25">
      <c r="A65" s="64" t="s">
        <v>29</v>
      </c>
      <c r="B65" s="64"/>
      <c r="C65" s="8" t="s">
        <v>32</v>
      </c>
      <c r="D65" s="29" t="s">
        <v>34</v>
      </c>
      <c r="E65" s="48" t="s">
        <v>35</v>
      </c>
      <c r="F65" s="45">
        <v>0</v>
      </c>
      <c r="G65" s="50">
        <v>29988</v>
      </c>
      <c r="H65" s="56" t="s">
        <v>110</v>
      </c>
    </row>
    <row r="66" spans="1:8" ht="20.100000000000001" customHeight="1" thickBot="1" x14ac:dyDescent="0.3">
      <c r="A66" s="64" t="s">
        <v>29</v>
      </c>
      <c r="B66" s="64"/>
      <c r="C66" s="8" t="s">
        <v>32</v>
      </c>
      <c r="D66" s="29" t="s">
        <v>34</v>
      </c>
      <c r="E66" s="40" t="s">
        <v>35</v>
      </c>
      <c r="F66" s="47">
        <v>0</v>
      </c>
      <c r="G66" s="42">
        <v>50293</v>
      </c>
      <c r="H66" s="56" t="s">
        <v>110</v>
      </c>
    </row>
    <row r="67" spans="1:8" ht="21.75" thickBot="1" x14ac:dyDescent="0.4">
      <c r="A67" s="22"/>
      <c r="B67" s="22"/>
      <c r="C67" s="22"/>
      <c r="D67" s="22"/>
      <c r="E67" s="24"/>
      <c r="F67" s="25" t="s">
        <v>87</v>
      </c>
      <c r="G67" s="34">
        <f>SUM(G55:G66)</f>
        <v>237909</v>
      </c>
      <c r="H67" s="53"/>
    </row>
    <row r="68" spans="1:8" ht="32.25" thickBot="1" x14ac:dyDescent="0.4">
      <c r="A68" s="64" t="s">
        <v>29</v>
      </c>
      <c r="B68" s="64"/>
      <c r="C68" s="8" t="s">
        <v>30</v>
      </c>
      <c r="D68" s="8" t="s">
        <v>31</v>
      </c>
      <c r="E68" s="27" t="s">
        <v>107</v>
      </c>
      <c r="F68" s="28">
        <v>0</v>
      </c>
      <c r="G68" s="43">
        <v>715</v>
      </c>
      <c r="H68" s="53">
        <v>1023</v>
      </c>
    </row>
    <row r="69" spans="1:8" ht="32.25" thickBot="1" x14ac:dyDescent="0.4">
      <c r="A69" s="64" t="s">
        <v>29</v>
      </c>
      <c r="B69" s="64"/>
      <c r="C69" s="8" t="s">
        <v>59</v>
      </c>
      <c r="D69" s="8" t="s">
        <v>60</v>
      </c>
      <c r="E69" s="27" t="s">
        <v>108</v>
      </c>
      <c r="F69" s="28">
        <v>0</v>
      </c>
      <c r="G69" s="26">
        <v>3055342</v>
      </c>
      <c r="H69" s="53">
        <v>1024</v>
      </c>
    </row>
    <row r="70" spans="1:8" ht="32.25" thickBot="1" x14ac:dyDescent="0.4">
      <c r="A70" s="64" t="s">
        <v>29</v>
      </c>
      <c r="B70" s="64"/>
      <c r="C70" s="8" t="s">
        <v>32</v>
      </c>
      <c r="D70" s="8" t="s">
        <v>67</v>
      </c>
      <c r="E70" s="8" t="s">
        <v>68</v>
      </c>
      <c r="F70" s="13">
        <v>116081793</v>
      </c>
      <c r="G70" s="51">
        <v>0</v>
      </c>
      <c r="H70" s="55"/>
    </row>
    <row r="71" spans="1:8" ht="32.25" thickBot="1" x14ac:dyDescent="0.4">
      <c r="A71" s="64" t="s">
        <v>66</v>
      </c>
      <c r="B71" s="64"/>
      <c r="C71" s="8" t="s">
        <v>47</v>
      </c>
      <c r="D71" s="8" t="s">
        <v>48</v>
      </c>
      <c r="E71" s="27" t="s">
        <v>109</v>
      </c>
      <c r="F71" s="28">
        <v>0</v>
      </c>
      <c r="G71" s="26">
        <v>103346</v>
      </c>
      <c r="H71" s="53">
        <v>1025</v>
      </c>
    </row>
    <row r="72" spans="1:8" x14ac:dyDescent="0.25">
      <c r="A72" s="5"/>
      <c r="B72" s="5"/>
      <c r="C72" s="5"/>
      <c r="D72" s="5"/>
      <c r="E72" s="5"/>
      <c r="F72" s="6"/>
      <c r="G72" s="52">
        <f>G19+G20+G21+G22+G23+G24+G25+G28+G29+G30+G31+G32+G33+G34+G37+G38+G39+G40+G41+G45+G46+G49+G50+G51+G52+G53+G54+G67+G68+G69+G71</f>
        <v>79383544</v>
      </c>
    </row>
    <row r="73" spans="1:8" x14ac:dyDescent="0.25">
      <c r="A73" s="66"/>
      <c r="B73" s="66"/>
      <c r="C73" s="66"/>
      <c r="D73" s="66"/>
      <c r="E73" s="66"/>
      <c r="F73" s="66"/>
      <c r="G73" s="66"/>
    </row>
    <row r="74" spans="1:8" x14ac:dyDescent="0.25">
      <c r="A74" s="58"/>
      <c r="B74" s="58"/>
      <c r="C74" s="58"/>
      <c r="D74" s="58"/>
      <c r="E74" s="58"/>
      <c r="F74" s="58"/>
      <c r="G74" s="58"/>
    </row>
    <row r="75" spans="1:8" ht="15" customHeight="1" x14ac:dyDescent="0.25">
      <c r="A75" s="57" t="s">
        <v>69</v>
      </c>
      <c r="B75" s="57"/>
      <c r="C75" s="57"/>
      <c r="D75" s="57"/>
      <c r="E75" s="57"/>
      <c r="F75" s="57"/>
      <c r="G75" s="57"/>
    </row>
    <row r="76" spans="1:8" x14ac:dyDescent="0.25">
      <c r="A76" s="58"/>
      <c r="B76" s="58"/>
      <c r="C76" s="58"/>
      <c r="D76" s="58"/>
      <c r="E76" s="58"/>
      <c r="F76" s="58"/>
      <c r="G76" s="58"/>
    </row>
    <row r="77" spans="1:8" x14ac:dyDescent="0.25">
      <c r="A77" s="8" t="s">
        <v>70</v>
      </c>
      <c r="B77" s="9">
        <v>5058029177</v>
      </c>
      <c r="C77" s="10"/>
    </row>
    <row r="78" spans="1:8" x14ac:dyDescent="0.25">
      <c r="A78" s="8" t="s">
        <v>71</v>
      </c>
      <c r="B78" s="11">
        <v>0</v>
      </c>
      <c r="C78" s="10"/>
    </row>
    <row r="79" spans="1:8" x14ac:dyDescent="0.25">
      <c r="A79" s="8" t="s">
        <v>72</v>
      </c>
      <c r="B79" s="9">
        <v>116081793</v>
      </c>
      <c r="C79" s="10"/>
    </row>
    <row r="80" spans="1:8" x14ac:dyDescent="0.25">
      <c r="A80" s="8" t="s">
        <v>73</v>
      </c>
      <c r="B80" s="9">
        <v>3159403</v>
      </c>
      <c r="C80" s="12">
        <f>B80+B81</f>
        <v>79383544</v>
      </c>
    </row>
    <row r="81" spans="1:3" x14ac:dyDescent="0.25">
      <c r="A81" s="8" t="s">
        <v>74</v>
      </c>
      <c r="B81" s="9">
        <v>76224141</v>
      </c>
      <c r="C81" s="10"/>
    </row>
    <row r="82" spans="1:3" x14ac:dyDescent="0.25">
      <c r="A82" s="8" t="s">
        <v>75</v>
      </c>
      <c r="B82" s="13">
        <v>5021330928</v>
      </c>
      <c r="C82" s="10"/>
    </row>
    <row r="83" spans="1:3" x14ac:dyDescent="0.25">
      <c r="A83" s="7"/>
    </row>
    <row r="84" spans="1:3" x14ac:dyDescent="0.25">
      <c r="A84" s="7"/>
    </row>
    <row r="85" spans="1:3" x14ac:dyDescent="0.25">
      <c r="A85" s="7"/>
    </row>
  </sheetData>
  <sortState xmlns:xlrd2="http://schemas.microsoft.com/office/spreadsheetml/2017/richdata2" ref="C19:G71">
    <sortCondition ref="D19:D71"/>
  </sortState>
  <mergeCells count="62">
    <mergeCell ref="A62:B62"/>
    <mergeCell ref="A63:B63"/>
    <mergeCell ref="A58:B58"/>
    <mergeCell ref="A56:B56"/>
    <mergeCell ref="A57:B57"/>
    <mergeCell ref="A59:B59"/>
    <mergeCell ref="A60:B60"/>
    <mergeCell ref="A61:B61"/>
    <mergeCell ref="A50:B50"/>
    <mergeCell ref="A51:B51"/>
    <mergeCell ref="A76:G76"/>
    <mergeCell ref="A65:B65"/>
    <mergeCell ref="A66:B66"/>
    <mergeCell ref="A68:B68"/>
    <mergeCell ref="A69:B69"/>
    <mergeCell ref="A70:B70"/>
    <mergeCell ref="A71:B71"/>
    <mergeCell ref="A73:G73"/>
    <mergeCell ref="A74:G74"/>
    <mergeCell ref="A75:G75"/>
    <mergeCell ref="A64:B64"/>
    <mergeCell ref="A53:B53"/>
    <mergeCell ref="A54:B54"/>
    <mergeCell ref="A55:B55"/>
    <mergeCell ref="A52:B52"/>
    <mergeCell ref="A44:B44"/>
    <mergeCell ref="A32:B32"/>
    <mergeCell ref="A33:B33"/>
    <mergeCell ref="A34:B34"/>
    <mergeCell ref="A35:B35"/>
    <mergeCell ref="A36:B36"/>
    <mergeCell ref="A38:B38"/>
    <mergeCell ref="A39:B39"/>
    <mergeCell ref="A40:B40"/>
    <mergeCell ref="A41:B41"/>
    <mergeCell ref="A42:B42"/>
    <mergeCell ref="A43:B43"/>
    <mergeCell ref="A46:B46"/>
    <mergeCell ref="A47:B47"/>
    <mergeCell ref="A48:B48"/>
    <mergeCell ref="A31:B31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9:B29"/>
    <mergeCell ref="A30:B30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</mergeCells>
  <pageMargins left="0.75" right="0.75" top="1" bottom="1" header="0.5" footer="0.5"/>
  <pageSetup scale="62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2020-03-16T18:58:34Z</cp:lastPrinted>
  <dcterms:created xsi:type="dcterms:W3CDTF">2020-03-06T12:50:24Z</dcterms:created>
  <dcterms:modified xsi:type="dcterms:W3CDTF">2020-03-24T17:15:27Z</dcterms:modified>
</cp:coreProperties>
</file>