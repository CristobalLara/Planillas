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pbahamondes\Documents\COBRANZAS 2020\CARTOLAS\"/>
    </mc:Choice>
  </mc:AlternateContent>
  <xr:revisionPtr revIDLastSave="0" documentId="8_{11B7E665-B65C-4AC1-8E2C-BC7D322A522F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9210059" sheetId="2" r:id="rId1"/>
  </sheet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30" i="2" l="1"/>
  <c r="G27" i="2"/>
  <c r="G21" i="2"/>
  <c r="G42" i="2" s="1"/>
  <c r="C50" i="2" l="1"/>
</calcChain>
</file>

<file path=xl/sharedStrings.xml><?xml version="1.0" encoding="utf-8"?>
<sst xmlns="http://schemas.openxmlformats.org/spreadsheetml/2006/main" count="122" uniqueCount="81">
  <si>
    <t>Cartola Histórica de Cuenta Corriente</t>
  </si>
  <si>
    <r>
      <t>Datos del cliente:</t>
    </r>
    <r>
      <rPr>
        <sz val="11"/>
        <color theme="1"/>
        <rFont val="Calibri"/>
        <family val="2"/>
        <scheme val="minor"/>
      </rPr>
      <t xml:space="preserve"> </t>
    </r>
  </si>
  <si>
    <t>Razón Social:</t>
  </si>
  <si>
    <t>CENABAST</t>
  </si>
  <si>
    <t>Usuario:</t>
  </si>
  <si>
    <t>LUIS PABLO ANDRADE NAVARRO</t>
  </si>
  <si>
    <t>Rut:</t>
  </si>
  <si>
    <t>61608700-2</t>
  </si>
  <si>
    <t>Rol:</t>
  </si>
  <si>
    <t>USU</t>
  </si>
  <si>
    <t>Cuenta:</t>
  </si>
  <si>
    <t>Fecha:</t>
  </si>
  <si>
    <t>Nombre Cuenta:</t>
  </si>
  <si>
    <t>SNS CENTRAL DE ABASTECIMIENTO</t>
  </si>
  <si>
    <t>Datos de la cartola:</t>
  </si>
  <si>
    <t>Nº Cartola:</t>
  </si>
  <si>
    <t>Fecha Inicio:</t>
  </si>
  <si>
    <t>Nº Movimientos:</t>
  </si>
  <si>
    <t>Fecha Final:</t>
  </si>
  <si>
    <t>Fecha Emisión:</t>
  </si>
  <si>
    <t>Movimientos:</t>
  </si>
  <si>
    <t>Fecha</t>
  </si>
  <si>
    <t>Sucursal</t>
  </si>
  <si>
    <t>N° Operación</t>
  </si>
  <si>
    <t>Descripción</t>
  </si>
  <si>
    <t>Cheques/</t>
  </si>
  <si>
    <t>Cargos $</t>
  </si>
  <si>
    <t>Depósitos/</t>
  </si>
  <si>
    <t>Abonos $</t>
  </si>
  <si>
    <t>11-03-2020  </t>
  </si>
  <si>
    <t>STGO.PRINCIPAL </t>
  </si>
  <si>
    <t>0205743 </t>
  </si>
  <si>
    <t>0408627 </t>
  </si>
  <si>
    <t>TALC-ESMERALDA </t>
  </si>
  <si>
    <t>0001782 </t>
  </si>
  <si>
    <t>PAGO DE CHEQUE CON DEPOSITO CUENTA CORRIENTE</t>
  </si>
  <si>
    <t>OSORNO </t>
  </si>
  <si>
    <t>STGO. J.M.CARO </t>
  </si>
  <si>
    <t>2155161 </t>
  </si>
  <si>
    <t>0203505 </t>
  </si>
  <si>
    <t>0202242 </t>
  </si>
  <si>
    <t>PUTAENDO </t>
  </si>
  <si>
    <t>PAGO DECHEQUE CON DEPOSITO CUENTA CORRIENTE</t>
  </si>
  <si>
    <t>1800255 </t>
  </si>
  <si>
    <t>0205747 </t>
  </si>
  <si>
    <t>0215231 </t>
  </si>
  <si>
    <t>RIO BUENO </t>
  </si>
  <si>
    <t>7505610 </t>
  </si>
  <si>
    <t>0203070 </t>
  </si>
  <si>
    <t>0204043 </t>
  </si>
  <si>
    <t>12-03-2020  </t>
  </si>
  <si>
    <t>7069728 </t>
  </si>
  <si>
    <t>TRANSFERENCIA A 00009000968 CENTRAL DE ABAST DEL SIST NAC DE SERV</t>
  </si>
  <si>
    <t>7073657 </t>
  </si>
  <si>
    <t>TRANSFERENCIA OTRO BANCO A AGENCIA DE ADUANA MEWES LTDA</t>
  </si>
  <si>
    <t>7071989 </t>
  </si>
  <si>
    <t>Resumen:</t>
  </si>
  <si>
    <t>Saldo Anterior $</t>
  </si>
  <si>
    <t>Total Cheques $</t>
  </si>
  <si>
    <t>Total Cargos $</t>
  </si>
  <si>
    <t>Total Depósitos $</t>
  </si>
  <si>
    <t>Total Abonos $</t>
  </si>
  <si>
    <t>Saldo Final $</t>
  </si>
  <si>
    <t>Numeros</t>
  </si>
  <si>
    <t>Ingresos</t>
  </si>
  <si>
    <t>12  Comprobantes</t>
  </si>
  <si>
    <t>TOTAL</t>
  </si>
  <si>
    <t>PAGO DE CHEQUE CON DEPOSITO CUENTA CORRIENTE TALCAHUANO</t>
  </si>
  <si>
    <t>ABONO PAGO A PROVEEDORES HOSPITAL DR.HERNAN HENRIQUEZ TEMUCO</t>
  </si>
  <si>
    <t>ABONO PAGO A PROVEEDORES HOSPITAL DE LAUTARO</t>
  </si>
  <si>
    <t>ABONO PAGO A PROVEEDORES HOSPITAL PADRE ALBERTO HURTADO</t>
  </si>
  <si>
    <t>ABONO PAGO A PROVEEDORES MUNICIPALIDAD DE ANGOL</t>
  </si>
  <si>
    <t xml:space="preserve"> ABONO PAGO A PROVEEDORES MUNICIPALIDAD DE RIO HURTADO</t>
  </si>
  <si>
    <t>ABONO PAGO A PROVEEDORES MUNICIPALIDAD DE MONTE PATRIA</t>
  </si>
  <si>
    <t>ABONO PAGO A PROVEEDORES HOSPITAL DE PUERTO MONTT</t>
  </si>
  <si>
    <t>ABONOS VARIOS MUNICIPALIDAD DE SAN CLEMENTE</t>
  </si>
  <si>
    <t xml:space="preserve">STGO.PRINCIPAL 69.110.500-8 </t>
  </si>
  <si>
    <t xml:space="preserve">STGO.PRINCIPAL  69.265.100-6 </t>
  </si>
  <si>
    <t>BANCO DE CREDITO E INVERSIONES MUNICIPALIDAD DE ALTO HOSPICIO</t>
  </si>
  <si>
    <t>DEPOSITO CON DOCUMENTOS MUNICIPALIDAD DE LO ESPEJO</t>
  </si>
  <si>
    <t>DEPOSITO CON DOCUMENTOS MUNICIPALIDAD DE RIO BUENO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</si>
</sst>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u/>
      <sz val="8"/>
      <color rgb="FF000000"/>
      <name val="Verdana"/>
      <family val="2"/>
    </font>
    <font>
      <b/>
      <u/>
      <sz val="8"/>
      <color rgb="FF000000"/>
      <name val="Calibri"/>
      <family val="2"/>
      <scheme val="minor"/>
    </font>
    <font>
      <sz val="14"/>
      <color rgb="FF000000"/>
      <name val="Verdana"/>
      <family val="2"/>
    </font>
    <font>
      <sz val="11"/>
      <color rgb="FF00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29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45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2" fillId="0" borderId="10">
      <alignment horizontal="center"/>
    </xf>
  </cellStyleXfs>
  <cellXfs count="60">
    <xf numFmtId="0" fontId="0" fillId="0" borderId="0" xfId="0"/>
    <xf numFmtId="0" fontId="0" fillId="0" borderId="0" xfId="0" applyAlignment="1">
      <alignment wrapText="1"/>
    </xf>
    <xf numFmtId="0" fontId="16" fillId="0" borderId="0" xfId="0" applyFont="1" applyAlignment="1">
      <alignment wrapText="1"/>
    </xf>
    <xf numFmtId="0" fontId="0" fillId="0" borderId="0" xfId="0" applyAlignment="1">
      <alignment horizontal="left" wrapText="1"/>
    </xf>
    <xf numFmtId="14" fontId="0" fillId="0" borderId="0" xfId="0" applyNumberFormat="1" applyAlignment="1">
      <alignment horizontal="left" wrapText="1"/>
    </xf>
    <xf numFmtId="0" fontId="0" fillId="0" borderId="0" xfId="0" applyAlignment="1">
      <alignment wrapText="1"/>
    </xf>
    <xf numFmtId="3" fontId="21" fillId="0" borderId="0" xfId="0" applyNumberFormat="1" applyFont="1" applyAlignment="1">
      <alignment horizontal="right" wrapText="1"/>
    </xf>
    <xf numFmtId="0" fontId="14" fillId="0" borderId="0" xfId="0" applyFont="1"/>
    <xf numFmtId="0" fontId="0" fillId="0" borderId="10" xfId="0" applyBorder="1" applyAlignment="1">
      <alignment wrapText="1"/>
    </xf>
    <xf numFmtId="0" fontId="21" fillId="0" borderId="10" xfId="0" applyFont="1" applyBorder="1" applyAlignment="1">
      <alignment horizontal="right" wrapText="1"/>
    </xf>
    <xf numFmtId="3" fontId="21" fillId="0" borderId="10" xfId="0" applyNumberFormat="1" applyFont="1" applyBorder="1" applyAlignment="1">
      <alignment horizontal="right" wrapText="1"/>
    </xf>
    <xf numFmtId="0" fontId="0" fillId="0" borderId="10" xfId="0" applyBorder="1"/>
    <xf numFmtId="3" fontId="0" fillId="0" borderId="10" xfId="0" applyNumberFormat="1" applyBorder="1" applyAlignment="1">
      <alignment horizontal="right" wrapText="1"/>
    </xf>
    <xf numFmtId="0" fontId="0" fillId="0" borderId="10" xfId="0" applyBorder="1" applyAlignment="1">
      <alignment horizontal="right" wrapText="1"/>
    </xf>
    <xf numFmtId="3" fontId="0" fillId="0" borderId="10" xfId="0" applyNumberFormat="1" applyBorder="1"/>
    <xf numFmtId="0" fontId="0" fillId="0" borderId="11" xfId="0" applyBorder="1" applyAlignment="1">
      <alignment wrapText="1"/>
    </xf>
    <xf numFmtId="0" fontId="21" fillId="0" borderId="11" xfId="0" applyFont="1" applyBorder="1" applyAlignment="1">
      <alignment horizontal="right" wrapText="1"/>
    </xf>
    <xf numFmtId="0" fontId="16" fillId="0" borderId="13" xfId="0" applyFont="1" applyBorder="1" applyAlignment="1">
      <alignment horizontal="right" vertical="top" wrapText="1"/>
    </xf>
    <xf numFmtId="0" fontId="16" fillId="0" borderId="14" xfId="0" applyFont="1" applyBorder="1"/>
    <xf numFmtId="0" fontId="16" fillId="0" borderId="17" xfId="0" applyFont="1" applyBorder="1"/>
    <xf numFmtId="0" fontId="22" fillId="0" borderId="0" xfId="0" applyFont="1"/>
    <xf numFmtId="0" fontId="21" fillId="0" borderId="19" xfId="0" applyFont="1" applyBorder="1" applyAlignment="1">
      <alignment horizontal="right" wrapText="1"/>
    </xf>
    <xf numFmtId="3" fontId="23" fillId="0" borderId="18" xfId="0" applyNumberFormat="1" applyFont="1" applyBorder="1" applyAlignment="1">
      <alignment horizontal="right" wrapText="1"/>
    </xf>
    <xf numFmtId="0" fontId="16" fillId="0" borderId="0" xfId="0" applyFont="1" applyBorder="1" applyAlignment="1">
      <alignment horizontal="right" vertical="top" wrapText="1"/>
    </xf>
    <xf numFmtId="0" fontId="21" fillId="0" borderId="20" xfId="0" applyFont="1" applyBorder="1" applyAlignment="1">
      <alignment horizontal="right" wrapText="1"/>
    </xf>
    <xf numFmtId="3" fontId="23" fillId="0" borderId="21" xfId="0" applyNumberFormat="1" applyFont="1" applyBorder="1" applyAlignment="1">
      <alignment horizontal="right" wrapText="1"/>
    </xf>
    <xf numFmtId="0" fontId="16" fillId="0" borderId="12" xfId="0" applyFont="1" applyBorder="1" applyAlignment="1">
      <alignment wrapText="1"/>
    </xf>
    <xf numFmtId="0" fontId="16" fillId="0" borderId="13" xfId="0" applyFont="1" applyBorder="1" applyAlignment="1">
      <alignment wrapText="1"/>
    </xf>
    <xf numFmtId="0" fontId="23" fillId="0" borderId="13" xfId="0" applyFont="1" applyBorder="1" applyAlignment="1">
      <alignment horizontal="right" wrapText="1"/>
    </xf>
    <xf numFmtId="3" fontId="23" fillId="0" borderId="14" xfId="0" applyNumberFormat="1" applyFont="1" applyBorder="1" applyAlignment="1">
      <alignment horizontal="right" wrapText="1"/>
    </xf>
    <xf numFmtId="0" fontId="16" fillId="0" borderId="15" xfId="0" applyFont="1" applyBorder="1" applyAlignment="1">
      <alignment wrapText="1"/>
    </xf>
    <xf numFmtId="0" fontId="16" fillId="0" borderId="16" xfId="0" applyFont="1" applyBorder="1" applyAlignment="1">
      <alignment wrapText="1"/>
    </xf>
    <xf numFmtId="0" fontId="23" fillId="0" borderId="16" xfId="0" applyFont="1" applyBorder="1" applyAlignment="1">
      <alignment horizontal="right" wrapText="1"/>
    </xf>
    <xf numFmtId="3" fontId="23" fillId="0" borderId="17" xfId="0" applyNumberFormat="1" applyFont="1" applyBorder="1" applyAlignment="1">
      <alignment horizontal="right" wrapText="1"/>
    </xf>
    <xf numFmtId="0" fontId="16" fillId="0" borderId="10" xfId="0" applyFont="1" applyBorder="1" applyAlignment="1">
      <alignment wrapText="1"/>
    </xf>
    <xf numFmtId="0" fontId="0" fillId="0" borderId="22" xfId="0" applyBorder="1" applyAlignment="1">
      <alignment wrapText="1"/>
    </xf>
    <xf numFmtId="0" fontId="21" fillId="0" borderId="23" xfId="0" applyFont="1" applyBorder="1" applyAlignment="1">
      <alignment horizontal="right" wrapText="1"/>
    </xf>
    <xf numFmtId="3" fontId="23" fillId="0" borderId="24" xfId="0" applyNumberFormat="1" applyFont="1" applyBorder="1" applyAlignment="1">
      <alignment horizontal="right" wrapText="1"/>
    </xf>
    <xf numFmtId="0" fontId="16" fillId="0" borderId="25" xfId="0" applyFont="1" applyBorder="1" applyAlignment="1">
      <alignment wrapText="1"/>
    </xf>
    <xf numFmtId="0" fontId="16" fillId="0" borderId="26" xfId="0" applyFont="1" applyBorder="1" applyAlignment="1">
      <alignment wrapText="1"/>
    </xf>
    <xf numFmtId="0" fontId="23" fillId="0" borderId="26" xfId="0" applyFont="1" applyBorder="1" applyAlignment="1">
      <alignment horizontal="right" wrapText="1"/>
    </xf>
    <xf numFmtId="3" fontId="23" fillId="0" borderId="27" xfId="0" applyNumberFormat="1" applyFont="1" applyBorder="1" applyAlignment="1">
      <alignment horizontal="right" wrapText="1"/>
    </xf>
    <xf numFmtId="0" fontId="0" fillId="0" borderId="19" xfId="0" applyBorder="1" applyAlignment="1">
      <alignment wrapText="1"/>
    </xf>
    <xf numFmtId="0" fontId="16" fillId="0" borderId="22" xfId="0" applyFont="1" applyBorder="1" applyAlignment="1">
      <alignment wrapText="1"/>
    </xf>
    <xf numFmtId="3" fontId="23" fillId="0" borderId="28" xfId="0" applyNumberFormat="1" applyFont="1" applyBorder="1" applyAlignment="1">
      <alignment horizontal="right" wrapText="1"/>
    </xf>
    <xf numFmtId="0" fontId="22" fillId="0" borderId="10" xfId="44">
      <alignment horizontal="center"/>
    </xf>
    <xf numFmtId="0" fontId="22" fillId="0" borderId="10" xfId="44" applyAlignment="1">
      <alignment horizontal="center"/>
    </xf>
    <xf numFmtId="0" fontId="16" fillId="0" borderId="0" xfId="0" applyFont="1" applyAlignment="1">
      <alignment wrapText="1"/>
    </xf>
    <xf numFmtId="0" fontId="0" fillId="0" borderId="0" xfId="0" applyAlignment="1">
      <alignment wrapText="1"/>
    </xf>
    <xf numFmtId="0" fontId="20" fillId="0" borderId="0" xfId="0" applyFont="1" applyAlignment="1">
      <alignment wrapText="1"/>
    </xf>
    <xf numFmtId="0" fontId="16" fillId="0" borderId="12" xfId="0" applyFont="1" applyBorder="1" applyAlignment="1">
      <alignment vertical="top" wrapText="1"/>
    </xf>
    <xf numFmtId="0" fontId="16" fillId="0" borderId="13" xfId="0" applyFont="1" applyBorder="1" applyAlignment="1">
      <alignment vertical="top" wrapText="1"/>
    </xf>
    <xf numFmtId="0" fontId="16" fillId="0" borderId="15" xfId="0" applyFont="1" applyBorder="1" applyAlignment="1">
      <alignment vertical="top" wrapText="1"/>
    </xf>
    <xf numFmtId="0" fontId="16" fillId="0" borderId="16" xfId="0" applyFont="1" applyBorder="1" applyAlignment="1">
      <alignment vertical="top" wrapText="1"/>
    </xf>
    <xf numFmtId="0" fontId="16" fillId="0" borderId="0" xfId="0" applyFont="1" applyBorder="1" applyAlignment="1">
      <alignment vertical="top" wrapText="1"/>
    </xf>
    <xf numFmtId="0" fontId="0" fillId="0" borderId="10" xfId="0" applyBorder="1" applyAlignment="1">
      <alignment wrapText="1"/>
    </xf>
    <xf numFmtId="0" fontId="0" fillId="0" borderId="19" xfId="0" applyBorder="1" applyAlignment="1">
      <alignment wrapText="1"/>
    </xf>
    <xf numFmtId="0" fontId="0" fillId="0" borderId="11" xfId="0" applyBorder="1" applyAlignment="1">
      <alignment wrapText="1"/>
    </xf>
    <xf numFmtId="0" fontId="0" fillId="0" borderId="20" xfId="0" applyBorder="1" applyAlignment="1">
      <alignment wrapText="1"/>
    </xf>
    <xf numFmtId="0" fontId="0" fillId="0" borderId="0" xfId="0" applyAlignment="1">
      <alignment horizontal="right" wrapText="1"/>
    </xf>
  </cellXfs>
  <cellStyles count="45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o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Estilo 1" xfId="44" xr:uid="{B1371109-B34A-406E-948E-8A2F836A420B}"/>
    <cellStyle name="Hipervínculo" xfId="42" builtinId="8" customBuiltin="1"/>
    <cellStyle name="Hipervínculo visitado" xfId="43" builtinId="9" customBuiltin="1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pageSetUpPr fitToPage="1"/>
  </sheetPr>
  <dimension ref="A1:H55"/>
  <sheetViews>
    <sheetView showGridLines="0" tabSelected="1" topLeftCell="A7" workbookViewId="0">
      <selection activeCell="K22" sqref="K22"/>
    </sheetView>
  </sheetViews>
  <sheetFormatPr baseColWidth="10" defaultRowHeight="15" x14ac:dyDescent="0.25"/>
  <cols>
    <col min="1" max="1" width="17.85546875" bestFit="1" customWidth="1"/>
    <col min="2" max="2" width="13.5703125" customWidth="1"/>
    <col min="3" max="3" width="17.140625" bestFit="1" customWidth="1"/>
    <col min="4" max="4" width="12.7109375" bestFit="1" customWidth="1"/>
    <col min="5" max="5" width="45.7109375" bestFit="1" customWidth="1"/>
    <col min="6" max="7" width="11.140625" bestFit="1" customWidth="1"/>
  </cols>
  <sheetData>
    <row r="1" spans="1:7" ht="18" customHeight="1" x14ac:dyDescent="0.25">
      <c r="A1" s="49" t="s">
        <v>0</v>
      </c>
      <c r="B1" s="49"/>
      <c r="C1" s="49"/>
      <c r="D1" s="49"/>
      <c r="E1" s="49"/>
    </row>
    <row r="2" spans="1:7" x14ac:dyDescent="0.25">
      <c r="A2" s="48"/>
      <c r="B2" s="48"/>
      <c r="C2" s="48"/>
      <c r="D2" s="48"/>
      <c r="E2" s="48"/>
      <c r="F2" s="48"/>
    </row>
    <row r="3" spans="1:7" ht="15" customHeight="1" x14ac:dyDescent="0.25">
      <c r="A3" s="47" t="s">
        <v>1</v>
      </c>
      <c r="B3" s="47"/>
      <c r="C3" s="47"/>
      <c r="D3" s="47"/>
      <c r="E3" s="47"/>
    </row>
    <row r="4" spans="1:7" x14ac:dyDescent="0.25">
      <c r="A4" s="48"/>
      <c r="B4" s="48"/>
      <c r="C4" s="48"/>
      <c r="D4" s="48"/>
      <c r="E4" s="48"/>
    </row>
    <row r="5" spans="1:7" x14ac:dyDescent="0.25">
      <c r="A5" s="2" t="s">
        <v>2</v>
      </c>
      <c r="B5" s="3" t="s">
        <v>3</v>
      </c>
      <c r="C5" s="1"/>
      <c r="D5" s="2" t="s">
        <v>4</v>
      </c>
      <c r="E5" s="3" t="s">
        <v>5</v>
      </c>
    </row>
    <row r="6" spans="1:7" x14ac:dyDescent="0.25">
      <c r="A6" s="2" t="s">
        <v>6</v>
      </c>
      <c r="B6" s="3" t="s">
        <v>7</v>
      </c>
      <c r="C6" s="1"/>
      <c r="D6" s="2" t="s">
        <v>8</v>
      </c>
      <c r="E6" s="3" t="s">
        <v>9</v>
      </c>
    </row>
    <row r="7" spans="1:7" x14ac:dyDescent="0.25">
      <c r="A7" s="2" t="s">
        <v>10</v>
      </c>
      <c r="B7" s="3">
        <v>9210059</v>
      </c>
      <c r="C7" s="1"/>
      <c r="D7" s="2" t="s">
        <v>11</v>
      </c>
      <c r="E7" s="4">
        <v>43902</v>
      </c>
    </row>
    <row r="8" spans="1:7" x14ac:dyDescent="0.25">
      <c r="A8" s="2" t="s">
        <v>12</v>
      </c>
      <c r="B8" s="1" t="s">
        <v>13</v>
      </c>
      <c r="C8" s="1"/>
      <c r="D8" s="1"/>
      <c r="E8" s="1"/>
    </row>
    <row r="9" spans="1:7" ht="21" x14ac:dyDescent="0.35">
      <c r="A9" s="1"/>
      <c r="F9" s="20" t="s">
        <v>65</v>
      </c>
    </row>
    <row r="10" spans="1:7" x14ac:dyDescent="0.25">
      <c r="A10" s="2" t="s">
        <v>14</v>
      </c>
    </row>
    <row r="11" spans="1:7" x14ac:dyDescent="0.25">
      <c r="A11" s="1"/>
    </row>
    <row r="12" spans="1:7" x14ac:dyDescent="0.25">
      <c r="A12" s="2" t="s">
        <v>15</v>
      </c>
      <c r="B12" s="3">
        <v>50</v>
      </c>
      <c r="C12" s="1"/>
      <c r="D12" s="2" t="s">
        <v>16</v>
      </c>
      <c r="E12" s="4">
        <v>43901</v>
      </c>
    </row>
    <row r="13" spans="1:7" x14ac:dyDescent="0.25">
      <c r="A13" s="2" t="s">
        <v>17</v>
      </c>
      <c r="B13" s="3">
        <v>20</v>
      </c>
      <c r="C13" s="1"/>
      <c r="D13" s="2" t="s">
        <v>18</v>
      </c>
      <c r="E13" s="4">
        <v>43902</v>
      </c>
    </row>
    <row r="14" spans="1:7" x14ac:dyDescent="0.25">
      <c r="A14" s="2" t="s">
        <v>19</v>
      </c>
      <c r="B14" s="4">
        <v>43901</v>
      </c>
      <c r="C14" s="1"/>
      <c r="D14" s="1"/>
      <c r="E14" s="1"/>
    </row>
    <row r="15" spans="1:7" ht="15" customHeight="1" x14ac:dyDescent="0.25">
      <c r="A15" s="47" t="s">
        <v>20</v>
      </c>
      <c r="B15" s="47"/>
      <c r="C15" s="47"/>
      <c r="D15" s="47"/>
      <c r="E15" s="47"/>
      <c r="F15" s="47"/>
      <c r="G15" s="47"/>
    </row>
    <row r="16" spans="1:7" ht="15.75" thickBot="1" x14ac:dyDescent="0.3">
      <c r="A16" s="48"/>
      <c r="B16" s="48"/>
      <c r="C16" s="48"/>
      <c r="D16" s="48"/>
      <c r="E16" s="48"/>
      <c r="F16" s="48"/>
      <c r="G16" s="48"/>
    </row>
    <row r="17" spans="1:8" x14ac:dyDescent="0.25">
      <c r="A17" s="50" t="s">
        <v>21</v>
      </c>
      <c r="B17" s="51"/>
      <c r="C17" s="51" t="s">
        <v>22</v>
      </c>
      <c r="D17" s="51" t="s">
        <v>23</v>
      </c>
      <c r="E17" s="51" t="s">
        <v>24</v>
      </c>
      <c r="F17" s="17" t="s">
        <v>25</v>
      </c>
      <c r="G17" s="17" t="s">
        <v>27</v>
      </c>
      <c r="H17" s="18" t="s">
        <v>63</v>
      </c>
    </row>
    <row r="18" spans="1:8" ht="15.75" thickBot="1" x14ac:dyDescent="0.3">
      <c r="A18" s="52"/>
      <c r="B18" s="53"/>
      <c r="C18" s="54"/>
      <c r="D18" s="54"/>
      <c r="E18" s="54"/>
      <c r="F18" s="23" t="s">
        <v>26</v>
      </c>
      <c r="G18" s="23" t="s">
        <v>28</v>
      </c>
      <c r="H18" s="19" t="s">
        <v>64</v>
      </c>
    </row>
    <row r="19" spans="1:8" ht="31.5" x14ac:dyDescent="0.35">
      <c r="A19" s="57" t="s">
        <v>29</v>
      </c>
      <c r="B19" s="58"/>
      <c r="C19" s="26" t="s">
        <v>33</v>
      </c>
      <c r="D19" s="27" t="s">
        <v>34</v>
      </c>
      <c r="E19" s="27" t="s">
        <v>67</v>
      </c>
      <c r="F19" s="28">
        <v>0</v>
      </c>
      <c r="G19" s="29">
        <v>5348</v>
      </c>
      <c r="H19" s="46"/>
    </row>
    <row r="20" spans="1:8" ht="32.25" thickBot="1" x14ac:dyDescent="0.4">
      <c r="A20" s="55" t="s">
        <v>29</v>
      </c>
      <c r="B20" s="56"/>
      <c r="C20" s="30" t="s">
        <v>33</v>
      </c>
      <c r="D20" s="31" t="s">
        <v>34</v>
      </c>
      <c r="E20" s="31" t="s">
        <v>67</v>
      </c>
      <c r="F20" s="32">
        <v>0</v>
      </c>
      <c r="G20" s="33">
        <v>15662</v>
      </c>
      <c r="H20" s="46"/>
    </row>
    <row r="21" spans="1:8" ht="21.75" thickBot="1" x14ac:dyDescent="0.4">
      <c r="A21" s="8"/>
      <c r="B21" s="8"/>
      <c r="C21" s="35"/>
      <c r="D21" s="35"/>
      <c r="E21" s="35"/>
      <c r="F21" s="36" t="s">
        <v>66</v>
      </c>
      <c r="G21" s="37">
        <f>SUM(G19:G20)</f>
        <v>21010</v>
      </c>
      <c r="H21" s="45">
        <v>1094</v>
      </c>
    </row>
    <row r="22" spans="1:8" ht="32.25" thickBot="1" x14ac:dyDescent="0.4">
      <c r="A22" s="55" t="s">
        <v>29</v>
      </c>
      <c r="B22" s="56"/>
      <c r="C22" s="38" t="s">
        <v>36</v>
      </c>
      <c r="D22" s="39" t="s">
        <v>34</v>
      </c>
      <c r="E22" s="39" t="s">
        <v>35</v>
      </c>
      <c r="F22" s="40">
        <v>0</v>
      </c>
      <c r="G22" s="41">
        <v>10657</v>
      </c>
      <c r="H22" s="46">
        <v>1095</v>
      </c>
    </row>
    <row r="23" spans="1:8" ht="32.25" thickBot="1" x14ac:dyDescent="0.4">
      <c r="A23" s="55" t="s">
        <v>29</v>
      </c>
      <c r="B23" s="56"/>
      <c r="C23" s="38" t="s">
        <v>41</v>
      </c>
      <c r="D23" s="39" t="s">
        <v>34</v>
      </c>
      <c r="E23" s="39" t="s">
        <v>42</v>
      </c>
      <c r="F23" s="40">
        <v>0</v>
      </c>
      <c r="G23" s="41">
        <v>17896</v>
      </c>
      <c r="H23" s="46">
        <v>1096</v>
      </c>
    </row>
    <row r="24" spans="1:8" ht="32.25" thickBot="1" x14ac:dyDescent="0.4">
      <c r="A24" s="55" t="s">
        <v>29</v>
      </c>
      <c r="B24" s="55"/>
      <c r="C24" s="15" t="s">
        <v>30</v>
      </c>
      <c r="D24" s="35" t="s">
        <v>40</v>
      </c>
      <c r="E24" s="43" t="s">
        <v>68</v>
      </c>
      <c r="F24" s="36">
        <v>0</v>
      </c>
      <c r="G24" s="44">
        <v>24126087</v>
      </c>
      <c r="H24" s="46">
        <v>1097</v>
      </c>
    </row>
    <row r="25" spans="1:8" ht="31.5" x14ac:dyDescent="0.35">
      <c r="A25" s="55" t="s">
        <v>29</v>
      </c>
      <c r="B25" s="55"/>
      <c r="C25" s="42" t="s">
        <v>30</v>
      </c>
      <c r="D25" s="26" t="s">
        <v>48</v>
      </c>
      <c r="E25" s="27" t="s">
        <v>69</v>
      </c>
      <c r="F25" s="28">
        <v>0</v>
      </c>
      <c r="G25" s="29">
        <v>1803593</v>
      </c>
      <c r="H25" s="46"/>
    </row>
    <row r="26" spans="1:8" ht="32.25" thickBot="1" x14ac:dyDescent="0.4">
      <c r="A26" s="55" t="s">
        <v>29</v>
      </c>
      <c r="B26" s="55"/>
      <c r="C26" s="42" t="s">
        <v>30</v>
      </c>
      <c r="D26" s="30" t="s">
        <v>48</v>
      </c>
      <c r="E26" s="31" t="s">
        <v>69</v>
      </c>
      <c r="F26" s="32">
        <v>0</v>
      </c>
      <c r="G26" s="33">
        <v>1836882</v>
      </c>
      <c r="H26" s="46"/>
    </row>
    <row r="27" spans="1:8" ht="21.75" thickBot="1" x14ac:dyDescent="0.4">
      <c r="A27" s="8"/>
      <c r="B27" s="8"/>
      <c r="C27" s="8"/>
      <c r="D27" s="35"/>
      <c r="E27" s="35"/>
      <c r="F27" s="36" t="s">
        <v>66</v>
      </c>
      <c r="G27" s="37">
        <f>SUM(G25:G26)</f>
        <v>3640475</v>
      </c>
      <c r="H27" s="46">
        <v>1098</v>
      </c>
    </row>
    <row r="28" spans="1:8" ht="31.5" x14ac:dyDescent="0.35">
      <c r="A28" s="55" t="s">
        <v>29</v>
      </c>
      <c r="B28" s="55"/>
      <c r="C28" s="42" t="s">
        <v>30</v>
      </c>
      <c r="D28" s="26" t="s">
        <v>39</v>
      </c>
      <c r="E28" s="27" t="s">
        <v>70</v>
      </c>
      <c r="F28" s="28">
        <v>0</v>
      </c>
      <c r="G28" s="29">
        <v>4251536</v>
      </c>
      <c r="H28" s="46"/>
    </row>
    <row r="29" spans="1:8" ht="32.25" thickBot="1" x14ac:dyDescent="0.4">
      <c r="A29" s="55" t="s">
        <v>29</v>
      </c>
      <c r="B29" s="55"/>
      <c r="C29" s="42" t="s">
        <v>30</v>
      </c>
      <c r="D29" s="30" t="s">
        <v>39</v>
      </c>
      <c r="E29" s="31" t="s">
        <v>70</v>
      </c>
      <c r="F29" s="32">
        <v>0</v>
      </c>
      <c r="G29" s="33">
        <v>100851383</v>
      </c>
      <c r="H29" s="46"/>
    </row>
    <row r="30" spans="1:8" ht="21.75" thickBot="1" x14ac:dyDescent="0.4">
      <c r="A30" s="8"/>
      <c r="B30" s="8"/>
      <c r="C30" s="8"/>
      <c r="D30" s="15"/>
      <c r="E30" s="15"/>
      <c r="F30" s="24" t="s">
        <v>66</v>
      </c>
      <c r="G30" s="25">
        <f>SUM(G28:G29)</f>
        <v>105102919</v>
      </c>
      <c r="H30" s="46">
        <v>1099</v>
      </c>
    </row>
    <row r="31" spans="1:8" ht="32.25" thickBot="1" x14ac:dyDescent="0.4">
      <c r="A31" s="55" t="s">
        <v>29</v>
      </c>
      <c r="B31" s="55"/>
      <c r="C31" s="8" t="s">
        <v>30</v>
      </c>
      <c r="D31" s="8" t="s">
        <v>49</v>
      </c>
      <c r="E31" s="34" t="s">
        <v>71</v>
      </c>
      <c r="F31" s="21">
        <v>0</v>
      </c>
      <c r="G31" s="22">
        <v>1890364</v>
      </c>
      <c r="H31" s="46">
        <v>1100</v>
      </c>
    </row>
    <row r="32" spans="1:8" ht="32.25" thickBot="1" x14ac:dyDescent="0.4">
      <c r="A32" s="55" t="s">
        <v>29</v>
      </c>
      <c r="B32" s="55"/>
      <c r="C32" s="8" t="s">
        <v>30</v>
      </c>
      <c r="D32" s="8" t="s">
        <v>31</v>
      </c>
      <c r="E32" s="34" t="s">
        <v>72</v>
      </c>
      <c r="F32" s="21">
        <v>0</v>
      </c>
      <c r="G32" s="22">
        <v>3579</v>
      </c>
      <c r="H32" s="46">
        <v>1101</v>
      </c>
    </row>
    <row r="33" spans="1:8" ht="32.25" thickBot="1" x14ac:dyDescent="0.4">
      <c r="A33" s="55" t="s">
        <v>29</v>
      </c>
      <c r="B33" s="55"/>
      <c r="C33" s="8" t="s">
        <v>30</v>
      </c>
      <c r="D33" s="8" t="s">
        <v>44</v>
      </c>
      <c r="E33" s="34" t="s">
        <v>73</v>
      </c>
      <c r="F33" s="21">
        <v>0</v>
      </c>
      <c r="G33" s="22">
        <v>31973</v>
      </c>
      <c r="H33" s="46">
        <v>1102</v>
      </c>
    </row>
    <row r="34" spans="1:8" ht="32.25" thickBot="1" x14ac:dyDescent="0.4">
      <c r="A34" s="55" t="s">
        <v>29</v>
      </c>
      <c r="B34" s="55"/>
      <c r="C34" s="8" t="s">
        <v>30</v>
      </c>
      <c r="D34" s="8" t="s">
        <v>45</v>
      </c>
      <c r="E34" s="34" t="s">
        <v>74</v>
      </c>
      <c r="F34" s="21">
        <v>0</v>
      </c>
      <c r="G34" s="22">
        <v>96597</v>
      </c>
      <c r="H34" s="46">
        <v>1103</v>
      </c>
    </row>
    <row r="35" spans="1:8" ht="32.25" thickBot="1" x14ac:dyDescent="0.4">
      <c r="A35" s="55" t="s">
        <v>29</v>
      </c>
      <c r="B35" s="55"/>
      <c r="C35" s="8" t="s">
        <v>76</v>
      </c>
      <c r="D35" s="8" t="s">
        <v>32</v>
      </c>
      <c r="E35" s="34" t="s">
        <v>75</v>
      </c>
      <c r="F35" s="21">
        <v>0</v>
      </c>
      <c r="G35" s="22">
        <v>4296</v>
      </c>
      <c r="H35" s="46">
        <v>1104</v>
      </c>
    </row>
    <row r="36" spans="1:8" ht="32.25" thickBot="1" x14ac:dyDescent="0.4">
      <c r="A36" s="55" t="s">
        <v>29</v>
      </c>
      <c r="B36" s="55"/>
      <c r="C36" s="8" t="s">
        <v>77</v>
      </c>
      <c r="D36" s="8" t="s">
        <v>43</v>
      </c>
      <c r="E36" s="34" t="s">
        <v>78</v>
      </c>
      <c r="F36" s="21">
        <v>0</v>
      </c>
      <c r="G36" s="22">
        <v>27454</v>
      </c>
      <c r="H36" s="46">
        <v>1105</v>
      </c>
    </row>
    <row r="37" spans="1:8" ht="32.25" thickBot="1" x14ac:dyDescent="0.4">
      <c r="A37" s="55" t="s">
        <v>29</v>
      </c>
      <c r="B37" s="55"/>
      <c r="C37" s="8" t="s">
        <v>37</v>
      </c>
      <c r="D37" s="8" t="s">
        <v>38</v>
      </c>
      <c r="E37" s="34" t="s">
        <v>79</v>
      </c>
      <c r="F37" s="21">
        <v>0</v>
      </c>
      <c r="G37" s="22">
        <v>2396579</v>
      </c>
      <c r="H37" s="46">
        <v>1106</v>
      </c>
    </row>
    <row r="38" spans="1:8" ht="32.25" thickBot="1" x14ac:dyDescent="0.4">
      <c r="A38" s="55" t="s">
        <v>29</v>
      </c>
      <c r="B38" s="55"/>
      <c r="C38" s="8" t="s">
        <v>46</v>
      </c>
      <c r="D38" s="8" t="s">
        <v>47</v>
      </c>
      <c r="E38" s="34" t="s">
        <v>80</v>
      </c>
      <c r="F38" s="21">
        <v>0</v>
      </c>
      <c r="G38" s="22">
        <v>1179315</v>
      </c>
      <c r="H38" s="46">
        <v>1107</v>
      </c>
    </row>
    <row r="39" spans="1:8" ht="31.5" x14ac:dyDescent="0.35">
      <c r="A39" s="55" t="s">
        <v>50</v>
      </c>
      <c r="B39" s="55"/>
      <c r="C39" s="8" t="s">
        <v>30</v>
      </c>
      <c r="D39" s="8" t="s">
        <v>51</v>
      </c>
      <c r="E39" s="8" t="s">
        <v>52</v>
      </c>
      <c r="F39" s="10">
        <v>265550938</v>
      </c>
      <c r="G39" s="16">
        <v>0</v>
      </c>
      <c r="H39" s="46"/>
    </row>
    <row r="40" spans="1:8" ht="31.5" x14ac:dyDescent="0.35">
      <c r="A40" s="55" t="s">
        <v>50</v>
      </c>
      <c r="B40" s="55"/>
      <c r="C40" s="8" t="s">
        <v>30</v>
      </c>
      <c r="D40" s="8" t="s">
        <v>53</v>
      </c>
      <c r="E40" s="8" t="s">
        <v>54</v>
      </c>
      <c r="F40" s="10">
        <v>205000</v>
      </c>
      <c r="G40" s="9">
        <v>0</v>
      </c>
      <c r="H40" s="46"/>
    </row>
    <row r="41" spans="1:8" ht="31.5" x14ac:dyDescent="0.35">
      <c r="A41" s="55" t="s">
        <v>50</v>
      </c>
      <c r="B41" s="55"/>
      <c r="C41" s="8" t="s">
        <v>30</v>
      </c>
      <c r="D41" s="8" t="s">
        <v>55</v>
      </c>
      <c r="E41" s="8" t="s">
        <v>54</v>
      </c>
      <c r="F41" s="10">
        <v>330000</v>
      </c>
      <c r="G41" s="9">
        <v>0</v>
      </c>
      <c r="H41" s="46"/>
    </row>
    <row r="42" spans="1:8" x14ac:dyDescent="0.25">
      <c r="A42" s="5"/>
      <c r="B42" s="5"/>
      <c r="C42" s="5"/>
      <c r="D42" s="5"/>
      <c r="E42" s="5"/>
      <c r="F42" s="6"/>
      <c r="G42" s="10">
        <f>G21+G22+G23+G24+G27+G30+G31+G32+G33+G34+G35+G36+G37+G38</f>
        <v>138549201</v>
      </c>
    </row>
    <row r="43" spans="1:8" x14ac:dyDescent="0.25">
      <c r="A43" s="59"/>
      <c r="B43" s="59"/>
      <c r="C43" s="59"/>
      <c r="D43" s="59"/>
      <c r="E43" s="59"/>
      <c r="F43" s="59"/>
      <c r="G43" s="59"/>
    </row>
    <row r="44" spans="1:8" x14ac:dyDescent="0.25">
      <c r="A44" s="48"/>
      <c r="B44" s="48"/>
      <c r="C44" s="48"/>
      <c r="D44" s="48"/>
      <c r="E44" s="48"/>
      <c r="F44" s="48"/>
      <c r="G44" s="48"/>
    </row>
    <row r="45" spans="1:8" ht="15" customHeight="1" x14ac:dyDescent="0.25">
      <c r="A45" s="47" t="s">
        <v>56</v>
      </c>
      <c r="B45" s="47"/>
      <c r="C45" s="47"/>
      <c r="D45" s="47"/>
      <c r="E45" s="47"/>
      <c r="F45" s="47"/>
      <c r="G45" s="47"/>
    </row>
    <row r="46" spans="1:8" x14ac:dyDescent="0.25">
      <c r="A46" s="48"/>
      <c r="B46" s="48"/>
      <c r="C46" s="48"/>
      <c r="D46" s="48"/>
      <c r="E46" s="48"/>
      <c r="F46" s="48"/>
      <c r="G46" s="48"/>
    </row>
    <row r="47" spans="1:8" x14ac:dyDescent="0.25">
      <c r="A47" s="8" t="s">
        <v>57</v>
      </c>
      <c r="B47" s="12">
        <v>5615361447</v>
      </c>
      <c r="C47" s="11"/>
    </row>
    <row r="48" spans="1:8" x14ac:dyDescent="0.25">
      <c r="A48" s="8" t="s">
        <v>58</v>
      </c>
      <c r="B48" s="13">
        <v>0</v>
      </c>
      <c r="C48" s="11"/>
    </row>
    <row r="49" spans="1:3" x14ac:dyDescent="0.25">
      <c r="A49" s="8" t="s">
        <v>59</v>
      </c>
      <c r="B49" s="12">
        <v>266085938</v>
      </c>
      <c r="C49" s="11"/>
    </row>
    <row r="50" spans="1:3" x14ac:dyDescent="0.25">
      <c r="A50" s="8" t="s">
        <v>60</v>
      </c>
      <c r="B50" s="12">
        <v>3575894</v>
      </c>
      <c r="C50" s="14">
        <f>B50+B51</f>
        <v>138549201</v>
      </c>
    </row>
    <row r="51" spans="1:3" x14ac:dyDescent="0.25">
      <c r="A51" s="8" t="s">
        <v>61</v>
      </c>
      <c r="B51" s="12">
        <v>134973307</v>
      </c>
      <c r="C51" s="11"/>
    </row>
    <row r="52" spans="1:3" x14ac:dyDescent="0.25">
      <c r="A52" s="8" t="s">
        <v>62</v>
      </c>
      <c r="B52" s="10">
        <v>5487824710</v>
      </c>
      <c r="C52" s="11"/>
    </row>
    <row r="53" spans="1:3" x14ac:dyDescent="0.25">
      <c r="A53" s="7"/>
    </row>
    <row r="54" spans="1:3" x14ac:dyDescent="0.25">
      <c r="A54" s="7"/>
    </row>
    <row r="55" spans="1:3" x14ac:dyDescent="0.25">
      <c r="A55" s="7"/>
    </row>
  </sheetData>
  <sortState xmlns:xlrd2="http://schemas.microsoft.com/office/spreadsheetml/2017/richdata2" ref="C19:G38">
    <sortCondition ref="D19:D38"/>
  </sortState>
  <mergeCells count="34">
    <mergeCell ref="A19:B19"/>
    <mergeCell ref="A45:G45"/>
    <mergeCell ref="A46:G46"/>
    <mergeCell ref="A40:B40"/>
    <mergeCell ref="A41:B41"/>
    <mergeCell ref="A43:G43"/>
    <mergeCell ref="A26:B26"/>
    <mergeCell ref="A28:B28"/>
    <mergeCell ref="A29:B29"/>
    <mergeCell ref="A31:B31"/>
    <mergeCell ref="A32:B32"/>
    <mergeCell ref="A44:G44"/>
    <mergeCell ref="A34:B34"/>
    <mergeCell ref="A35:B35"/>
    <mergeCell ref="A36:B36"/>
    <mergeCell ref="A37:B37"/>
    <mergeCell ref="A38:B38"/>
    <mergeCell ref="A39:B39"/>
    <mergeCell ref="A22:B22"/>
    <mergeCell ref="A20:B20"/>
    <mergeCell ref="A23:B23"/>
    <mergeCell ref="A24:B24"/>
    <mergeCell ref="A25:B25"/>
    <mergeCell ref="A33:B33"/>
    <mergeCell ref="A3:E3"/>
    <mergeCell ref="A4:E4"/>
    <mergeCell ref="A1:E1"/>
    <mergeCell ref="A2:F2"/>
    <mergeCell ref="A17:B18"/>
    <mergeCell ref="C17:C18"/>
    <mergeCell ref="D17:D18"/>
    <mergeCell ref="E17:E18"/>
    <mergeCell ref="A15:G15"/>
    <mergeCell ref="A16:G16"/>
  </mergeCells>
  <pageMargins left="0.75" right="0.75" top="1" bottom="1" header="0.5" footer="0.5"/>
  <pageSetup scale="63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9210059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Andrade Navarro, Luis Pablo, CENABAST</dc:creator>
  <cp:lastModifiedBy>Bahamondes Mendez, Paola Gladys, CENABAST</cp:lastModifiedBy>
  <cp:lastPrinted>2020-03-12T18:10:36Z</cp:lastPrinted>
  <dcterms:created xsi:type="dcterms:W3CDTF">2020-03-12T17:40:05Z</dcterms:created>
  <dcterms:modified xsi:type="dcterms:W3CDTF">2020-03-24T17:11:39Z</dcterms:modified>
</cp:coreProperties>
</file>