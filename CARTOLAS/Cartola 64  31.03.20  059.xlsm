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527"/>
  <workbookPr defaultThemeVersion="166925"/>
  <mc:AlternateContent xmlns:mc="http://schemas.openxmlformats.org/markup-compatibility/2006">
    <mc:Choice Requires="x15">
      <x15ac:absPath xmlns:x15ac="http://schemas.microsoft.com/office/spreadsheetml/2010/11/ac" url="C:\Users\pbahamondes\Documents\COBRANZAS 2020\CARTOLAS\"/>
    </mc:Choice>
  </mc:AlternateContent>
  <xr:revisionPtr revIDLastSave="0" documentId="8_{EB94A92F-EBB6-44A0-A7CC-67DD96D05B4A}" xr6:coauthVersionLast="45" xr6:coauthVersionMax="45" xr10:uidLastSave="{00000000-0000-0000-0000-000000000000}"/>
  <bookViews>
    <workbookView xWindow="-120" yWindow="-120" windowWidth="29040" windowHeight="15840" xr2:uid="{00000000-000D-0000-FFFF-FFFF00000000}"/>
  </bookViews>
  <sheets>
    <sheet name="9210059" sheetId="2" r:id="rId1"/>
  </sheets>
  <calcPr calcId="181029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G83" i="2" l="1"/>
  <c r="G33" i="2"/>
  <c r="G85" i="2" l="1"/>
  <c r="G74" i="2"/>
  <c r="G36" i="2"/>
  <c r="G27" i="2"/>
  <c r="C93" i="2"/>
</calcChain>
</file>

<file path=xl/sharedStrings.xml><?xml version="1.0" encoding="utf-8"?>
<sst xmlns="http://schemas.openxmlformats.org/spreadsheetml/2006/main" count="283" uniqueCount="83">
  <si>
    <t>Cartola Histórica de Cuenta Corriente</t>
  </si>
  <si>
    <r>
      <t>Datos del cliente:</t>
    </r>
    <r>
      <rPr>
        <sz val="11"/>
        <color theme="1"/>
        <rFont val="Calibri"/>
        <family val="2"/>
        <scheme val="minor"/>
      </rPr>
      <t xml:space="preserve"> </t>
    </r>
  </si>
  <si>
    <t>Razón Social:</t>
  </si>
  <si>
    <t>CENABAST</t>
  </si>
  <si>
    <t>Usuario:</t>
  </si>
  <si>
    <t>LUIS PABLO ANDRADE NAVARRO</t>
  </si>
  <si>
    <t>Rut:</t>
  </si>
  <si>
    <t>61608700-2</t>
  </si>
  <si>
    <t>Rol:</t>
  </si>
  <si>
    <t>USU</t>
  </si>
  <si>
    <t>Cuenta:</t>
  </si>
  <si>
    <t>Fecha:</t>
  </si>
  <si>
    <t>Nombre Cuenta:</t>
  </si>
  <si>
    <t>SNS CENTRAL DE ABASTECIMIENTO</t>
  </si>
  <si>
    <t>Datos de la cartola:</t>
  </si>
  <si>
    <t>Nº Cartola:</t>
  </si>
  <si>
    <t>Fecha Inicio:</t>
  </si>
  <si>
    <t>Nº Movimientos:</t>
  </si>
  <si>
    <t>Fecha Final:</t>
  </si>
  <si>
    <t>Fecha Emisión:</t>
  </si>
  <si>
    <t>Movimientos:</t>
  </si>
  <si>
    <t>Fecha</t>
  </si>
  <si>
    <t>Sucursal</t>
  </si>
  <si>
    <t>N° Operación</t>
  </si>
  <si>
    <t>Descripción</t>
  </si>
  <si>
    <t>Cheques/</t>
  </si>
  <si>
    <t>Cargos $</t>
  </si>
  <si>
    <t>Depósitos/</t>
  </si>
  <si>
    <t>Abonos $</t>
  </si>
  <si>
    <t>31-03-2020  </t>
  </si>
  <si>
    <t>STGO.PRINCIPAL </t>
  </si>
  <si>
    <t>0208173 </t>
  </si>
  <si>
    <t>0203973 </t>
  </si>
  <si>
    <t>0204783 </t>
  </si>
  <si>
    <t>0208548 </t>
  </si>
  <si>
    <t>0208136 </t>
  </si>
  <si>
    <t>0205567 </t>
  </si>
  <si>
    <t>0216069 </t>
  </si>
  <si>
    <t>0207084 </t>
  </si>
  <si>
    <t>0209294 </t>
  </si>
  <si>
    <t>CURICO </t>
  </si>
  <si>
    <t>4500950 </t>
  </si>
  <si>
    <t>0210093 </t>
  </si>
  <si>
    <t>0205088 </t>
  </si>
  <si>
    <t>PICA </t>
  </si>
  <si>
    <t>0001782 </t>
  </si>
  <si>
    <t>PAGO DE CHEQUE CON DEPOSITO CUENTA CORRIENTE</t>
  </si>
  <si>
    <t>0204278 </t>
  </si>
  <si>
    <t>0204265 </t>
  </si>
  <si>
    <t>MOSTAZAL </t>
  </si>
  <si>
    <t>3505300 </t>
  </si>
  <si>
    <t>SANTA CRUZ </t>
  </si>
  <si>
    <t>01-04-2020  </t>
  </si>
  <si>
    <t>0001077 </t>
  </si>
  <si>
    <t>TRANSFERENCIA OTRO BANCO DE DEPARTAMENTO SALUD MUNICIPALIDAD DE QUILLON</t>
  </si>
  <si>
    <t>7069778 </t>
  </si>
  <si>
    <t>TRANSFERENCIA BANCOESTADO DE I MUNICIPALIDAD DE CALLE LARGA</t>
  </si>
  <si>
    <t>Resumen:</t>
  </si>
  <si>
    <t>Saldo Anterior $</t>
  </si>
  <si>
    <t>Total Cheques $</t>
  </si>
  <si>
    <t>Total Cargos $</t>
  </si>
  <si>
    <t>Total Depósitos $</t>
  </si>
  <si>
    <t>Total Abonos $</t>
  </si>
  <si>
    <t>Saldo Final $</t>
  </si>
  <si>
    <t>Numeros</t>
  </si>
  <si>
    <t>Ingresos</t>
  </si>
  <si>
    <t>12   Comprobantes</t>
  </si>
  <si>
    <t>total</t>
  </si>
  <si>
    <t>ABONO PAGO A PROVEEDORES MUNICIPALIDAD DE LUMACO</t>
  </si>
  <si>
    <t xml:space="preserve"> ABONO PAGO A PROVEEDORES HOSPITAL LA CALERA</t>
  </si>
  <si>
    <t>ABONO PAGO A PROVEEDORES MUNICIPALIDAD DE NACIMIENTO</t>
  </si>
  <si>
    <t>ABONO PAGO A PROVEEDORES HOSPITAL DE SANTA JUANA</t>
  </si>
  <si>
    <t>ABONO PAGO A PROVEEDORES MUNICIPALIDAD DE RIO CLARO</t>
  </si>
  <si>
    <t>ABONO PAGO A PROVEEDORES HOSPITAL DE TAL TAL</t>
  </si>
  <si>
    <t>ABONO PAGO A PROVEEDORES MUNICIPALIDAD DE LOS ALAMOS</t>
  </si>
  <si>
    <t>ABONO PAGO A PROVEEDORES HOSPITAL DE SAN ANTONIO (DR.CLAUDIO VICUÑA)</t>
  </si>
  <si>
    <t>ABONO PAGO A PROVEEDORES MUNICIPALIDAD DE VILLA ALEGRE</t>
  </si>
  <si>
    <t>ABONO PAGO A PROVEEDORES SERVICIO DE SALUD DE VALPARAISO-SAN ANTONIO</t>
  </si>
  <si>
    <t>ABONO PAGO A PROVEEDORES MUNICIPALIDAD DE PERQUENCO</t>
  </si>
  <si>
    <t>ABONO PAGO A PROVEEDORES MUNICIPALIDAD DE PENCO</t>
  </si>
  <si>
    <t>ABONO PAGO A PROVEEDORES MUNICIPALIDAD DE RENGO</t>
  </si>
  <si>
    <t>DEPOSITO CON DOCUMENTOS MUNICIPALIDAD DE MOSTAZAL</t>
  </si>
  <si>
    <t>DEPOSITO CON DOCUMENTOS MUNICIPALIDAD DE CURICO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</si>
</sst>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4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57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u/>
      <sz val="8"/>
      <color rgb="FF000000"/>
      <name val="Verdana"/>
      <family val="2"/>
    </font>
    <font>
      <b/>
      <u/>
      <sz val="8"/>
      <color rgb="FF000000"/>
      <name val="Calibri"/>
      <family val="2"/>
      <scheme val="minor"/>
    </font>
    <font>
      <sz val="14"/>
      <color rgb="FF000000"/>
      <name val="Verdana"/>
      <family val="2"/>
    </font>
    <font>
      <sz val="11"/>
      <color rgb="FF000000"/>
      <name val="Calibri"/>
      <family val="2"/>
      <scheme val="minor"/>
    </font>
    <font>
      <b/>
      <sz val="16"/>
      <color theme="1"/>
      <name val="Calibri"/>
      <family val="2"/>
      <scheme val="minor"/>
    </font>
    <font>
      <b/>
      <sz val="11"/>
      <color rgb="FF000000"/>
      <name val="Calibri"/>
      <family val="2"/>
      <scheme val="minor"/>
    </font>
  </fonts>
  <fills count="33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</fills>
  <borders count="35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</borders>
  <cellStyleXfs count="44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</cellStyleXfs>
  <cellXfs count="69">
    <xf numFmtId="0" fontId="0" fillId="0" borderId="0" xfId="0"/>
    <xf numFmtId="0" fontId="0" fillId="0" borderId="0" xfId="0" applyAlignment="1">
      <alignment wrapText="1"/>
    </xf>
    <xf numFmtId="0" fontId="16" fillId="0" borderId="0" xfId="0" applyFont="1" applyAlignment="1">
      <alignment wrapText="1"/>
    </xf>
    <xf numFmtId="0" fontId="0" fillId="0" borderId="0" xfId="0" applyAlignment="1">
      <alignment horizontal="left" wrapText="1"/>
    </xf>
    <xf numFmtId="14" fontId="0" fillId="0" borderId="0" xfId="0" applyNumberFormat="1" applyAlignment="1">
      <alignment horizontal="left" wrapText="1"/>
    </xf>
    <xf numFmtId="0" fontId="21" fillId="0" borderId="0" xfId="0" applyFont="1" applyAlignment="1">
      <alignment horizontal="right" wrapText="1"/>
    </xf>
    <xf numFmtId="0" fontId="14" fillId="0" borderId="0" xfId="0" applyFont="1"/>
    <xf numFmtId="0" fontId="0" fillId="0" borderId="10" xfId="0" applyBorder="1" applyAlignment="1">
      <alignment wrapText="1"/>
    </xf>
    <xf numFmtId="3" fontId="0" fillId="0" borderId="10" xfId="0" applyNumberFormat="1" applyBorder="1" applyAlignment="1">
      <alignment horizontal="right" wrapText="1"/>
    </xf>
    <xf numFmtId="0" fontId="0" fillId="0" borderId="10" xfId="0" applyBorder="1"/>
    <xf numFmtId="0" fontId="0" fillId="0" borderId="10" xfId="0" applyBorder="1" applyAlignment="1">
      <alignment horizontal="right" wrapText="1"/>
    </xf>
    <xf numFmtId="3" fontId="0" fillId="0" borderId="10" xfId="0" applyNumberFormat="1" applyBorder="1"/>
    <xf numFmtId="3" fontId="21" fillId="0" borderId="10" xfId="0" applyNumberFormat="1" applyFont="1" applyBorder="1" applyAlignment="1">
      <alignment horizontal="right" wrapText="1"/>
    </xf>
    <xf numFmtId="0" fontId="0" fillId="0" borderId="12" xfId="0" applyBorder="1" applyAlignment="1">
      <alignment wrapText="1"/>
    </xf>
    <xf numFmtId="3" fontId="21" fillId="0" borderId="12" xfId="0" applyNumberFormat="1" applyFont="1" applyBorder="1" applyAlignment="1">
      <alignment horizontal="right" wrapText="1"/>
    </xf>
    <xf numFmtId="0" fontId="16" fillId="0" borderId="14" xfId="0" applyFont="1" applyBorder="1" applyAlignment="1">
      <alignment horizontal="right" vertical="top" wrapText="1"/>
    </xf>
    <xf numFmtId="0" fontId="16" fillId="0" borderId="15" xfId="0" applyFont="1" applyBorder="1"/>
    <xf numFmtId="0" fontId="16" fillId="0" borderId="18" xfId="0" applyFont="1" applyBorder="1"/>
    <xf numFmtId="0" fontId="22" fillId="0" borderId="0" xfId="0" applyFont="1"/>
    <xf numFmtId="0" fontId="21" fillId="0" borderId="19" xfId="0" applyFont="1" applyBorder="1" applyAlignment="1">
      <alignment horizontal="right" wrapText="1"/>
    </xf>
    <xf numFmtId="3" fontId="23" fillId="0" borderId="11" xfId="0" applyNumberFormat="1" applyFont="1" applyBorder="1" applyAlignment="1">
      <alignment horizontal="right" wrapText="1"/>
    </xf>
    <xf numFmtId="0" fontId="0" fillId="0" borderId="19" xfId="0" applyBorder="1" applyAlignment="1">
      <alignment wrapText="1"/>
    </xf>
    <xf numFmtId="0" fontId="0" fillId="0" borderId="21" xfId="0" applyBorder="1" applyAlignment="1">
      <alignment wrapText="1"/>
    </xf>
    <xf numFmtId="0" fontId="21" fillId="0" borderId="22" xfId="0" applyFont="1" applyBorder="1" applyAlignment="1">
      <alignment horizontal="right" wrapText="1"/>
    </xf>
    <xf numFmtId="3" fontId="23" fillId="0" borderId="23" xfId="0" applyNumberFormat="1" applyFont="1" applyBorder="1" applyAlignment="1">
      <alignment horizontal="right" wrapText="1"/>
    </xf>
    <xf numFmtId="3" fontId="21" fillId="0" borderId="0" xfId="0" applyNumberFormat="1" applyFont="1" applyBorder="1" applyAlignment="1">
      <alignment horizontal="right" wrapText="1"/>
    </xf>
    <xf numFmtId="0" fontId="21" fillId="0" borderId="14" xfId="0" applyFont="1" applyBorder="1" applyAlignment="1">
      <alignment horizontal="right" wrapText="1"/>
    </xf>
    <xf numFmtId="0" fontId="16" fillId="0" borderId="13" xfId="0" applyFont="1" applyBorder="1" applyAlignment="1">
      <alignment wrapText="1"/>
    </xf>
    <xf numFmtId="0" fontId="16" fillId="0" borderId="14" xfId="0" applyFont="1" applyBorder="1" applyAlignment="1">
      <alignment wrapText="1"/>
    </xf>
    <xf numFmtId="0" fontId="23" fillId="0" borderId="14" xfId="0" applyFont="1" applyBorder="1" applyAlignment="1">
      <alignment horizontal="right" wrapText="1"/>
    </xf>
    <xf numFmtId="3" fontId="23" fillId="0" borderId="15" xfId="0" applyNumberFormat="1" applyFont="1" applyBorder="1" applyAlignment="1">
      <alignment horizontal="right" wrapText="1"/>
    </xf>
    <xf numFmtId="0" fontId="16" fillId="0" borderId="16" xfId="0" applyFont="1" applyBorder="1" applyAlignment="1">
      <alignment wrapText="1"/>
    </xf>
    <xf numFmtId="0" fontId="16" fillId="0" borderId="17" xfId="0" applyFont="1" applyBorder="1" applyAlignment="1">
      <alignment wrapText="1"/>
    </xf>
    <xf numFmtId="0" fontId="23" fillId="0" borderId="17" xfId="0" applyFont="1" applyBorder="1" applyAlignment="1">
      <alignment horizontal="right" wrapText="1"/>
    </xf>
    <xf numFmtId="3" fontId="23" fillId="0" borderId="18" xfId="0" applyNumberFormat="1" applyFont="1" applyBorder="1" applyAlignment="1">
      <alignment horizontal="right" wrapText="1"/>
    </xf>
    <xf numFmtId="0" fontId="0" fillId="0" borderId="24" xfId="0" applyBorder="1" applyAlignment="1">
      <alignment wrapText="1"/>
    </xf>
    <xf numFmtId="0" fontId="21" fillId="0" borderId="25" xfId="0" applyFont="1" applyBorder="1" applyAlignment="1">
      <alignment horizontal="right" wrapText="1"/>
    </xf>
    <xf numFmtId="3" fontId="23" fillId="0" borderId="26" xfId="0" applyNumberFormat="1" applyFont="1" applyBorder="1" applyAlignment="1">
      <alignment horizontal="right" wrapText="1"/>
    </xf>
    <xf numFmtId="0" fontId="16" fillId="0" borderId="27" xfId="0" applyFont="1" applyBorder="1" applyAlignment="1">
      <alignment wrapText="1"/>
    </xf>
    <xf numFmtId="0" fontId="16" fillId="0" borderId="0" xfId="0" applyFont="1" applyBorder="1" applyAlignment="1">
      <alignment wrapText="1"/>
    </xf>
    <xf numFmtId="0" fontId="23" fillId="0" borderId="0" xfId="0" applyFont="1" applyBorder="1" applyAlignment="1">
      <alignment horizontal="right" wrapText="1"/>
    </xf>
    <xf numFmtId="3" fontId="23" fillId="0" borderId="28" xfId="0" applyNumberFormat="1" applyFont="1" applyBorder="1" applyAlignment="1">
      <alignment horizontal="right" wrapText="1"/>
    </xf>
    <xf numFmtId="0" fontId="16" fillId="0" borderId="10" xfId="0" applyFont="1" applyBorder="1" applyAlignment="1">
      <alignment wrapText="1"/>
    </xf>
    <xf numFmtId="0" fontId="16" fillId="0" borderId="12" xfId="0" applyFont="1" applyBorder="1" applyAlignment="1">
      <alignment wrapText="1"/>
    </xf>
    <xf numFmtId="0" fontId="16" fillId="0" borderId="21" xfId="0" applyFont="1" applyBorder="1" applyAlignment="1">
      <alignment wrapText="1"/>
    </xf>
    <xf numFmtId="0" fontId="16" fillId="0" borderId="0" xfId="0" applyFont="1" applyBorder="1" applyAlignment="1">
      <alignment horizontal="right" vertical="top" wrapText="1"/>
    </xf>
    <xf numFmtId="0" fontId="16" fillId="0" borderId="31" xfId="0" applyFont="1" applyBorder="1" applyAlignment="1">
      <alignment wrapText="1"/>
    </xf>
    <xf numFmtId="3" fontId="23" fillId="0" borderId="32" xfId="0" applyNumberFormat="1" applyFont="1" applyBorder="1" applyAlignment="1">
      <alignment horizontal="right" wrapText="1"/>
    </xf>
    <xf numFmtId="0" fontId="16" fillId="0" borderId="30" xfId="0" applyFont="1" applyBorder="1" applyAlignment="1">
      <alignment wrapText="1"/>
    </xf>
    <xf numFmtId="0" fontId="23" fillId="0" borderId="31" xfId="0" applyFont="1" applyBorder="1" applyAlignment="1">
      <alignment horizontal="right" wrapText="1"/>
    </xf>
    <xf numFmtId="0" fontId="21" fillId="0" borderId="33" xfId="0" applyFont="1" applyBorder="1" applyAlignment="1">
      <alignment horizontal="right" wrapText="1"/>
    </xf>
    <xf numFmtId="3" fontId="23" fillId="0" borderId="34" xfId="0" applyNumberFormat="1" applyFont="1" applyBorder="1" applyAlignment="1">
      <alignment horizontal="right" wrapText="1"/>
    </xf>
    <xf numFmtId="0" fontId="0" fillId="0" borderId="21" xfId="0" applyFont="1" applyBorder="1" applyAlignment="1">
      <alignment wrapText="1"/>
    </xf>
    <xf numFmtId="0" fontId="23" fillId="0" borderId="21" xfId="0" applyFont="1" applyBorder="1" applyAlignment="1">
      <alignment horizontal="right" wrapText="1"/>
    </xf>
    <xf numFmtId="0" fontId="22" fillId="0" borderId="29" xfId="0" applyFont="1" applyBorder="1" applyAlignment="1">
      <alignment horizontal="center" vertical="center"/>
    </xf>
    <xf numFmtId="0" fontId="22" fillId="0" borderId="20" xfId="0" applyFont="1" applyBorder="1" applyAlignment="1">
      <alignment horizontal="center" vertical="center"/>
    </xf>
    <xf numFmtId="0" fontId="0" fillId="0" borderId="0" xfId="0" applyAlignment="1">
      <alignment horizontal="right" wrapText="1"/>
    </xf>
    <xf numFmtId="0" fontId="16" fillId="0" borderId="0" xfId="0" applyFont="1" applyAlignment="1">
      <alignment wrapText="1"/>
    </xf>
    <xf numFmtId="0" fontId="0" fillId="0" borderId="0" xfId="0" applyAlignment="1">
      <alignment wrapText="1"/>
    </xf>
    <xf numFmtId="0" fontId="0" fillId="0" borderId="10" xfId="0" applyBorder="1" applyAlignment="1">
      <alignment wrapText="1"/>
    </xf>
    <xf numFmtId="0" fontId="0" fillId="0" borderId="12" xfId="0" applyBorder="1" applyAlignment="1">
      <alignment wrapText="1"/>
    </xf>
    <xf numFmtId="0" fontId="0" fillId="0" borderId="22" xfId="0" applyBorder="1" applyAlignment="1">
      <alignment wrapText="1"/>
    </xf>
    <xf numFmtId="0" fontId="0" fillId="0" borderId="19" xfId="0" applyBorder="1" applyAlignment="1">
      <alignment wrapText="1"/>
    </xf>
    <xf numFmtId="0" fontId="20" fillId="0" borderId="0" xfId="0" applyFont="1" applyAlignment="1">
      <alignment horizontal="center" vertical="center" wrapText="1"/>
    </xf>
    <xf numFmtId="0" fontId="16" fillId="0" borderId="13" xfId="0" applyFont="1" applyBorder="1" applyAlignment="1">
      <alignment vertical="top" wrapText="1"/>
    </xf>
    <xf numFmtId="0" fontId="16" fillId="0" borderId="14" xfId="0" applyFont="1" applyBorder="1" applyAlignment="1">
      <alignment vertical="top" wrapText="1"/>
    </xf>
    <xf numFmtId="0" fontId="16" fillId="0" borderId="16" xfId="0" applyFont="1" applyBorder="1" applyAlignment="1">
      <alignment vertical="top" wrapText="1"/>
    </xf>
    <xf numFmtId="0" fontId="16" fillId="0" borderId="17" xfId="0" applyFont="1" applyBorder="1" applyAlignment="1">
      <alignment vertical="top" wrapText="1"/>
    </xf>
    <xf numFmtId="0" fontId="16" fillId="0" borderId="0" xfId="0" applyFont="1" applyBorder="1" applyAlignment="1">
      <alignment vertical="top" wrapText="1"/>
    </xf>
  </cellXfs>
  <cellStyles count="44">
    <cellStyle name="20% - Énfasis1" xfId="19" builtinId="30" customBuiltin="1"/>
    <cellStyle name="20% - Énfasis2" xfId="23" builtinId="34" customBuiltin="1"/>
    <cellStyle name="20% - Énfasis3" xfId="27" builtinId="38" customBuiltin="1"/>
    <cellStyle name="20% - Énfasis4" xfId="31" builtinId="42" customBuiltin="1"/>
    <cellStyle name="20% - Énfasis5" xfId="35" builtinId="46" customBuiltin="1"/>
    <cellStyle name="20% - Énfasis6" xfId="39" builtinId="50" customBuiltin="1"/>
    <cellStyle name="40% - Énfasis1" xfId="20" builtinId="31" customBuiltin="1"/>
    <cellStyle name="40% - Énfasis2" xfId="24" builtinId="35" customBuiltin="1"/>
    <cellStyle name="40% - Énfasis3" xfId="28" builtinId="39" customBuiltin="1"/>
    <cellStyle name="40% - Énfasis4" xfId="32" builtinId="43" customBuiltin="1"/>
    <cellStyle name="40% - Énfasis5" xfId="36" builtinId="47" customBuiltin="1"/>
    <cellStyle name="40% - Énfasis6" xfId="40" builtinId="51" customBuiltin="1"/>
    <cellStyle name="60% - Énfasis1" xfId="21" builtinId="32" customBuiltin="1"/>
    <cellStyle name="60% - Énfasis2" xfId="25" builtinId="36" customBuiltin="1"/>
    <cellStyle name="60% - Énfasis3" xfId="29" builtinId="40" customBuiltin="1"/>
    <cellStyle name="60% - Énfasis4" xfId="33" builtinId="44" customBuiltin="1"/>
    <cellStyle name="60% - Énfasis5" xfId="37" builtinId="48" customBuiltin="1"/>
    <cellStyle name="60% - Énfasis6" xfId="41" builtinId="52" customBuiltin="1"/>
    <cellStyle name="Bueno" xfId="6" builtinId="26" customBuiltin="1"/>
    <cellStyle name="Cálculo" xfId="11" builtinId="22" customBuiltin="1"/>
    <cellStyle name="Celda de comprobación" xfId="13" builtinId="23" customBuiltin="1"/>
    <cellStyle name="Celda vinculada" xfId="12" builtinId="24" customBuiltin="1"/>
    <cellStyle name="Encabezado 1" xfId="2" builtinId="16" customBuiltin="1"/>
    <cellStyle name="Encabezado 4" xfId="5" builtinId="19" customBuiltin="1"/>
    <cellStyle name="Énfasis1" xfId="18" builtinId="29" customBuiltin="1"/>
    <cellStyle name="Énfasis2" xfId="22" builtinId="33" customBuiltin="1"/>
    <cellStyle name="Énfasis3" xfId="26" builtinId="37" customBuiltin="1"/>
    <cellStyle name="Énfasis4" xfId="30" builtinId="41" customBuiltin="1"/>
    <cellStyle name="Énfasis5" xfId="34" builtinId="45" customBuiltin="1"/>
    <cellStyle name="Énfasis6" xfId="38" builtinId="49" customBuiltin="1"/>
    <cellStyle name="Entrada" xfId="9" builtinId="20" customBuiltin="1"/>
    <cellStyle name="Hipervínculo" xfId="42" builtinId="8" customBuiltin="1"/>
    <cellStyle name="Hipervínculo visitado" xfId="43" builtinId="9" customBuiltin="1"/>
    <cellStyle name="Incorrecto" xfId="7" builtinId="27" customBuiltin="1"/>
    <cellStyle name="Neutral" xfId="8" builtinId="28" customBuiltin="1"/>
    <cellStyle name="Normal" xfId="0" builtinId="0"/>
    <cellStyle name="Notas" xfId="15" builtinId="10" customBuiltin="1"/>
    <cellStyle name="Salida" xfId="10" builtinId="21" customBuiltin="1"/>
    <cellStyle name="Texto de advertencia" xfId="14" builtinId="11" customBuiltin="1"/>
    <cellStyle name="Texto explicativo" xfId="16" builtinId="53" customBuiltin="1"/>
    <cellStyle name="Título" xfId="1" builtinId="15" customBuiltin="1"/>
    <cellStyle name="Título 2" xfId="3" builtinId="17" customBuiltin="1"/>
    <cellStyle name="Título 3" xfId="4" builtinId="18" customBuiltin="1"/>
    <cellStyle name="Total" xfId="17" builtinId="25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>
    <pageSetUpPr fitToPage="1"/>
  </sheetPr>
  <dimension ref="A1:H98"/>
  <sheetViews>
    <sheetView showGridLines="0" tabSelected="1" workbookViewId="0">
      <selection activeCell="I20" sqref="I20"/>
    </sheetView>
  </sheetViews>
  <sheetFormatPr baseColWidth="10" defaultRowHeight="15" x14ac:dyDescent="0.25"/>
  <cols>
    <col min="1" max="1" width="17.85546875" bestFit="1" customWidth="1"/>
    <col min="2" max="2" width="15.28515625" customWidth="1"/>
    <col min="3" max="3" width="16.140625" bestFit="1" customWidth="1"/>
    <col min="4" max="4" width="12.7109375" bestFit="1" customWidth="1"/>
    <col min="5" max="5" width="45.7109375" bestFit="1" customWidth="1"/>
    <col min="6" max="6" width="9.5703125" bestFit="1" customWidth="1"/>
    <col min="7" max="7" width="10.7109375" bestFit="1" customWidth="1"/>
  </cols>
  <sheetData>
    <row r="1" spans="1:7" ht="18" customHeight="1" x14ac:dyDescent="0.25">
      <c r="A1" s="63" t="s">
        <v>0</v>
      </c>
      <c r="B1" s="63"/>
      <c r="C1" s="63"/>
      <c r="D1" s="63"/>
      <c r="E1" s="63"/>
    </row>
    <row r="2" spans="1:7" x14ac:dyDescent="0.25">
      <c r="A2" s="58"/>
      <c r="B2" s="58"/>
      <c r="C2" s="58"/>
      <c r="D2" s="58"/>
      <c r="E2" s="58"/>
      <c r="F2" s="58"/>
    </row>
    <row r="3" spans="1:7" ht="15" customHeight="1" x14ac:dyDescent="0.25">
      <c r="A3" s="57" t="s">
        <v>1</v>
      </c>
      <c r="B3" s="57"/>
      <c r="C3" s="57"/>
      <c r="D3" s="57"/>
      <c r="E3" s="57"/>
    </row>
    <row r="4" spans="1:7" x14ac:dyDescent="0.25">
      <c r="A4" s="58"/>
      <c r="B4" s="58"/>
      <c r="C4" s="58"/>
      <c r="D4" s="58"/>
      <c r="E4" s="58"/>
    </row>
    <row r="5" spans="1:7" x14ac:dyDescent="0.25">
      <c r="A5" s="2" t="s">
        <v>2</v>
      </c>
      <c r="B5" s="3" t="s">
        <v>3</v>
      </c>
      <c r="C5" s="1"/>
      <c r="D5" s="2" t="s">
        <v>4</v>
      </c>
      <c r="E5" s="3" t="s">
        <v>5</v>
      </c>
    </row>
    <row r="6" spans="1:7" x14ac:dyDescent="0.25">
      <c r="A6" s="2" t="s">
        <v>6</v>
      </c>
      <c r="B6" s="3" t="s">
        <v>7</v>
      </c>
      <c r="C6" s="1"/>
      <c r="D6" s="2" t="s">
        <v>8</v>
      </c>
      <c r="E6" s="3" t="s">
        <v>9</v>
      </c>
    </row>
    <row r="7" spans="1:7" x14ac:dyDescent="0.25">
      <c r="A7" s="2" t="s">
        <v>10</v>
      </c>
      <c r="B7" s="3">
        <v>9210059</v>
      </c>
      <c r="C7" s="1"/>
      <c r="D7" s="2" t="s">
        <v>11</v>
      </c>
      <c r="E7" s="4">
        <v>43922</v>
      </c>
    </row>
    <row r="8" spans="1:7" x14ac:dyDescent="0.25">
      <c r="A8" s="2" t="s">
        <v>12</v>
      </c>
      <c r="B8" s="1" t="s">
        <v>13</v>
      </c>
      <c r="C8" s="1"/>
      <c r="D8" s="1"/>
      <c r="E8" s="1"/>
    </row>
    <row r="9" spans="1:7" ht="21" x14ac:dyDescent="0.35">
      <c r="A9" s="1"/>
      <c r="F9" s="18" t="s">
        <v>66</v>
      </c>
    </row>
    <row r="10" spans="1:7" x14ac:dyDescent="0.25">
      <c r="A10" s="2" t="s">
        <v>14</v>
      </c>
    </row>
    <row r="11" spans="1:7" x14ac:dyDescent="0.25">
      <c r="A11" s="1"/>
    </row>
    <row r="12" spans="1:7" x14ac:dyDescent="0.25">
      <c r="A12" s="2" t="s">
        <v>15</v>
      </c>
      <c r="B12" s="3">
        <v>64</v>
      </c>
      <c r="C12" s="1"/>
      <c r="D12" s="2" t="s">
        <v>16</v>
      </c>
      <c r="E12" s="4">
        <v>43921</v>
      </c>
    </row>
    <row r="13" spans="1:7" x14ac:dyDescent="0.25">
      <c r="A13" s="2" t="s">
        <v>17</v>
      </c>
      <c r="B13" s="3">
        <v>60</v>
      </c>
      <c r="C13" s="1"/>
      <c r="D13" s="2" t="s">
        <v>18</v>
      </c>
      <c r="E13" s="4">
        <v>43922</v>
      </c>
    </row>
    <row r="14" spans="1:7" x14ac:dyDescent="0.25">
      <c r="A14" s="2" t="s">
        <v>19</v>
      </c>
      <c r="B14" s="4">
        <v>43921</v>
      </c>
      <c r="C14" s="1"/>
      <c r="D14" s="1"/>
      <c r="E14" s="1"/>
    </row>
    <row r="15" spans="1:7" ht="15" customHeight="1" x14ac:dyDescent="0.25">
      <c r="A15" s="57" t="s">
        <v>20</v>
      </c>
      <c r="B15" s="57"/>
      <c r="C15" s="57"/>
      <c r="D15" s="57"/>
      <c r="E15" s="57"/>
      <c r="F15" s="57"/>
      <c r="G15" s="57"/>
    </row>
    <row r="16" spans="1:7" ht="15.75" thickBot="1" x14ac:dyDescent="0.3">
      <c r="A16" s="58"/>
      <c r="B16" s="58"/>
      <c r="C16" s="58"/>
      <c r="D16" s="58"/>
      <c r="E16" s="58"/>
      <c r="F16" s="58"/>
      <c r="G16" s="58"/>
    </row>
    <row r="17" spans="1:8" x14ac:dyDescent="0.25">
      <c r="A17" s="64" t="s">
        <v>21</v>
      </c>
      <c r="B17" s="65"/>
      <c r="C17" s="65" t="s">
        <v>22</v>
      </c>
      <c r="D17" s="65" t="s">
        <v>23</v>
      </c>
      <c r="E17" s="65" t="s">
        <v>24</v>
      </c>
      <c r="F17" s="15" t="s">
        <v>25</v>
      </c>
      <c r="G17" s="15" t="s">
        <v>27</v>
      </c>
      <c r="H17" s="16" t="s">
        <v>64</v>
      </c>
    </row>
    <row r="18" spans="1:8" ht="15.75" thickBot="1" x14ac:dyDescent="0.3">
      <c r="A18" s="66"/>
      <c r="B18" s="67"/>
      <c r="C18" s="68"/>
      <c r="D18" s="68"/>
      <c r="E18" s="68"/>
      <c r="F18" s="45" t="s">
        <v>26</v>
      </c>
      <c r="G18" s="45" t="s">
        <v>28</v>
      </c>
      <c r="H18" s="17" t="s">
        <v>65</v>
      </c>
    </row>
    <row r="19" spans="1:8" ht="30" customHeight="1" thickBot="1" x14ac:dyDescent="0.3">
      <c r="A19" s="60" t="s">
        <v>29</v>
      </c>
      <c r="B19" s="61"/>
      <c r="C19" s="27" t="s">
        <v>44</v>
      </c>
      <c r="D19" s="28" t="s">
        <v>45</v>
      </c>
      <c r="E19" s="28" t="s">
        <v>46</v>
      </c>
      <c r="F19" s="26">
        <v>0</v>
      </c>
      <c r="G19" s="30">
        <v>113734</v>
      </c>
      <c r="H19" s="54">
        <v>1336</v>
      </c>
    </row>
    <row r="20" spans="1:8" ht="30" customHeight="1" thickBot="1" x14ac:dyDescent="0.3">
      <c r="A20" s="59" t="s">
        <v>29</v>
      </c>
      <c r="B20" s="62"/>
      <c r="C20" s="48" t="s">
        <v>51</v>
      </c>
      <c r="D20" s="46" t="s">
        <v>45</v>
      </c>
      <c r="E20" s="46" t="s">
        <v>46</v>
      </c>
      <c r="F20" s="49">
        <v>0</v>
      </c>
      <c r="G20" s="47">
        <v>176640</v>
      </c>
      <c r="H20" s="55">
        <v>1337</v>
      </c>
    </row>
    <row r="21" spans="1:8" ht="30" customHeight="1" thickBot="1" x14ac:dyDescent="0.3">
      <c r="A21" s="59" t="s">
        <v>29</v>
      </c>
      <c r="B21" s="59"/>
      <c r="C21" s="13" t="s">
        <v>30</v>
      </c>
      <c r="D21" s="13" t="s">
        <v>32</v>
      </c>
      <c r="E21" s="43" t="s">
        <v>68</v>
      </c>
      <c r="F21" s="23">
        <v>0</v>
      </c>
      <c r="G21" s="20">
        <v>1184891</v>
      </c>
      <c r="H21" s="54">
        <v>1338</v>
      </c>
    </row>
    <row r="22" spans="1:8" ht="30" customHeight="1" thickBot="1" x14ac:dyDescent="0.3">
      <c r="A22" s="59" t="s">
        <v>29</v>
      </c>
      <c r="B22" s="59"/>
      <c r="C22" s="7" t="s">
        <v>30</v>
      </c>
      <c r="D22" s="7" t="s">
        <v>48</v>
      </c>
      <c r="E22" s="42" t="s">
        <v>69</v>
      </c>
      <c r="F22" s="19">
        <v>0</v>
      </c>
      <c r="G22" s="20">
        <v>133314</v>
      </c>
      <c r="H22" s="55">
        <v>1339</v>
      </c>
    </row>
    <row r="23" spans="1:8" ht="30" customHeight="1" thickBot="1" x14ac:dyDescent="0.3">
      <c r="A23" s="59" t="s">
        <v>29</v>
      </c>
      <c r="B23" s="59"/>
      <c r="C23" s="7" t="s">
        <v>30</v>
      </c>
      <c r="D23" s="7" t="s">
        <v>47</v>
      </c>
      <c r="E23" s="42" t="s">
        <v>70</v>
      </c>
      <c r="F23" s="19">
        <v>0</v>
      </c>
      <c r="G23" s="20">
        <v>123742</v>
      </c>
      <c r="H23" s="54">
        <v>1340</v>
      </c>
    </row>
    <row r="24" spans="1:8" ht="30" customHeight="1" thickBot="1" x14ac:dyDescent="0.3">
      <c r="A24" s="59" t="s">
        <v>29</v>
      </c>
      <c r="B24" s="59"/>
      <c r="C24" s="7" t="s">
        <v>30</v>
      </c>
      <c r="D24" s="22" t="s">
        <v>33</v>
      </c>
      <c r="E24" s="44" t="s">
        <v>71</v>
      </c>
      <c r="F24" s="50">
        <v>0</v>
      </c>
      <c r="G24" s="51">
        <v>1282496</v>
      </c>
      <c r="H24" s="55">
        <v>1341</v>
      </c>
    </row>
    <row r="25" spans="1:8" ht="30" customHeight="1" x14ac:dyDescent="0.25">
      <c r="A25" s="59" t="s">
        <v>29</v>
      </c>
      <c r="B25" s="59"/>
      <c r="C25" s="21" t="s">
        <v>30</v>
      </c>
      <c r="D25" s="27" t="s">
        <v>43</v>
      </c>
      <c r="E25" s="28" t="s">
        <v>72</v>
      </c>
      <c r="F25" s="29">
        <v>0</v>
      </c>
      <c r="G25" s="30">
        <v>85260</v>
      </c>
      <c r="H25" s="55"/>
    </row>
    <row r="26" spans="1:8" ht="30" customHeight="1" thickBot="1" x14ac:dyDescent="0.3">
      <c r="A26" s="59" t="s">
        <v>29</v>
      </c>
      <c r="B26" s="59"/>
      <c r="C26" s="21" t="s">
        <v>30</v>
      </c>
      <c r="D26" s="31" t="s">
        <v>43</v>
      </c>
      <c r="E26" s="32" t="s">
        <v>72</v>
      </c>
      <c r="F26" s="33">
        <v>0</v>
      </c>
      <c r="G26" s="34">
        <v>85260</v>
      </c>
      <c r="H26" s="55"/>
    </row>
    <row r="27" spans="1:8" ht="17.25" customHeight="1" thickBot="1" x14ac:dyDescent="0.3">
      <c r="A27" s="7"/>
      <c r="B27" s="7"/>
      <c r="C27" s="7"/>
      <c r="D27" s="35"/>
      <c r="E27" s="35"/>
      <c r="F27" s="36" t="s">
        <v>67</v>
      </c>
      <c r="G27" s="37">
        <f>SUM(G25:G26)</f>
        <v>170520</v>
      </c>
      <c r="H27" s="55">
        <v>1342</v>
      </c>
    </row>
    <row r="28" spans="1:8" ht="30" customHeight="1" thickBot="1" x14ac:dyDescent="0.3">
      <c r="A28" s="59" t="s">
        <v>29</v>
      </c>
      <c r="B28" s="59"/>
      <c r="C28" s="21" t="s">
        <v>30</v>
      </c>
      <c r="D28" s="52" t="s">
        <v>36</v>
      </c>
      <c r="E28" s="44" t="s">
        <v>73</v>
      </c>
      <c r="F28" s="53">
        <v>0</v>
      </c>
      <c r="G28" s="30">
        <v>14317</v>
      </c>
      <c r="H28" s="55">
        <v>1343</v>
      </c>
    </row>
    <row r="29" spans="1:8" ht="30" customHeight="1" x14ac:dyDescent="0.25">
      <c r="A29" s="59" t="s">
        <v>29</v>
      </c>
      <c r="B29" s="59"/>
      <c r="C29" s="21" t="s">
        <v>30</v>
      </c>
      <c r="D29" s="27" t="s">
        <v>38</v>
      </c>
      <c r="E29" s="28" t="s">
        <v>74</v>
      </c>
      <c r="F29" s="29">
        <v>0</v>
      </c>
      <c r="G29" s="30">
        <v>17896</v>
      </c>
      <c r="H29" s="55"/>
    </row>
    <row r="30" spans="1:8" ht="30" customHeight="1" x14ac:dyDescent="0.25">
      <c r="A30" s="59" t="s">
        <v>29</v>
      </c>
      <c r="B30" s="59"/>
      <c r="C30" s="21" t="s">
        <v>30</v>
      </c>
      <c r="D30" s="38" t="s">
        <v>38</v>
      </c>
      <c r="E30" s="39" t="s">
        <v>74</v>
      </c>
      <c r="F30" s="40">
        <v>0</v>
      </c>
      <c r="G30" s="41">
        <v>53479</v>
      </c>
      <c r="H30" s="55"/>
    </row>
    <row r="31" spans="1:8" ht="30" customHeight="1" x14ac:dyDescent="0.25">
      <c r="A31" s="59" t="s">
        <v>29</v>
      </c>
      <c r="B31" s="59"/>
      <c r="C31" s="21" t="s">
        <v>30</v>
      </c>
      <c r="D31" s="38" t="s">
        <v>38</v>
      </c>
      <c r="E31" s="39" t="s">
        <v>74</v>
      </c>
      <c r="F31" s="40">
        <v>0</v>
      </c>
      <c r="G31" s="41">
        <v>53479</v>
      </c>
      <c r="H31" s="55"/>
    </row>
    <row r="32" spans="1:8" ht="30" customHeight="1" thickBot="1" x14ac:dyDescent="0.3">
      <c r="A32" s="59" t="s">
        <v>29</v>
      </c>
      <c r="B32" s="59"/>
      <c r="C32" s="21" t="s">
        <v>30</v>
      </c>
      <c r="D32" s="31" t="s">
        <v>38</v>
      </c>
      <c r="E32" s="32" t="s">
        <v>74</v>
      </c>
      <c r="F32" s="33">
        <v>0</v>
      </c>
      <c r="G32" s="34">
        <v>106575</v>
      </c>
      <c r="H32" s="55"/>
    </row>
    <row r="33" spans="1:8" ht="15.75" customHeight="1" thickBot="1" x14ac:dyDescent="0.3">
      <c r="A33" s="7"/>
      <c r="B33" s="7"/>
      <c r="C33" s="7"/>
      <c r="D33" s="35"/>
      <c r="E33" s="35"/>
      <c r="F33" s="36" t="s">
        <v>67</v>
      </c>
      <c r="G33" s="37">
        <f>SUM(G29:G32)</f>
        <v>231429</v>
      </c>
      <c r="H33" s="55">
        <v>1344</v>
      </c>
    </row>
    <row r="34" spans="1:8" ht="30" x14ac:dyDescent="0.25">
      <c r="A34" s="59" t="s">
        <v>29</v>
      </c>
      <c r="B34" s="59"/>
      <c r="C34" s="21" t="s">
        <v>30</v>
      </c>
      <c r="D34" s="27" t="s">
        <v>35</v>
      </c>
      <c r="E34" s="28" t="s">
        <v>75</v>
      </c>
      <c r="F34" s="29">
        <v>0</v>
      </c>
      <c r="G34" s="30">
        <v>3171999</v>
      </c>
      <c r="H34" s="55"/>
    </row>
    <row r="35" spans="1:8" ht="30.75" thickBot="1" x14ac:dyDescent="0.3">
      <c r="A35" s="59" t="s">
        <v>29</v>
      </c>
      <c r="B35" s="59"/>
      <c r="C35" s="21" t="s">
        <v>30</v>
      </c>
      <c r="D35" s="31" t="s">
        <v>35</v>
      </c>
      <c r="E35" s="32" t="s">
        <v>75</v>
      </c>
      <c r="F35" s="33">
        <v>0</v>
      </c>
      <c r="G35" s="34">
        <v>270970</v>
      </c>
      <c r="H35" s="55"/>
    </row>
    <row r="36" spans="1:8" ht="18" customHeight="1" thickBot="1" x14ac:dyDescent="0.3">
      <c r="A36" s="7"/>
      <c r="B36" s="7"/>
      <c r="C36" s="7"/>
      <c r="D36" s="35"/>
      <c r="E36" s="35"/>
      <c r="F36" s="36" t="s">
        <v>67</v>
      </c>
      <c r="G36" s="37">
        <f>SUM(G34:G35)</f>
        <v>3442969</v>
      </c>
      <c r="H36" s="55">
        <v>1345</v>
      </c>
    </row>
    <row r="37" spans="1:8" ht="30" customHeight="1" x14ac:dyDescent="0.25">
      <c r="A37" s="59" t="s">
        <v>29</v>
      </c>
      <c r="B37" s="59"/>
      <c r="C37" s="21" t="s">
        <v>30</v>
      </c>
      <c r="D37" s="27" t="s">
        <v>31</v>
      </c>
      <c r="E37" s="28" t="s">
        <v>76</v>
      </c>
      <c r="F37" s="29">
        <v>0</v>
      </c>
      <c r="G37" s="30">
        <v>2250</v>
      </c>
      <c r="H37" s="55"/>
    </row>
    <row r="38" spans="1:8" ht="30" customHeight="1" x14ac:dyDescent="0.25">
      <c r="A38" s="59" t="s">
        <v>29</v>
      </c>
      <c r="B38" s="59"/>
      <c r="C38" s="21" t="s">
        <v>30</v>
      </c>
      <c r="D38" s="38" t="s">
        <v>31</v>
      </c>
      <c r="E38" s="39" t="s">
        <v>76</v>
      </c>
      <c r="F38" s="40">
        <v>0</v>
      </c>
      <c r="G38" s="41">
        <v>4720</v>
      </c>
      <c r="H38" s="55"/>
    </row>
    <row r="39" spans="1:8" ht="30" customHeight="1" x14ac:dyDescent="0.25">
      <c r="A39" s="59" t="s">
        <v>29</v>
      </c>
      <c r="B39" s="59"/>
      <c r="C39" s="21" t="s">
        <v>30</v>
      </c>
      <c r="D39" s="38" t="s">
        <v>31</v>
      </c>
      <c r="E39" s="39" t="s">
        <v>76</v>
      </c>
      <c r="F39" s="40">
        <v>0</v>
      </c>
      <c r="G39" s="41">
        <v>6043</v>
      </c>
      <c r="H39" s="55"/>
    </row>
    <row r="40" spans="1:8" ht="30" customHeight="1" x14ac:dyDescent="0.25">
      <c r="A40" s="59" t="s">
        <v>29</v>
      </c>
      <c r="B40" s="59"/>
      <c r="C40" s="21" t="s">
        <v>30</v>
      </c>
      <c r="D40" s="38" t="s">
        <v>31</v>
      </c>
      <c r="E40" s="39" t="s">
        <v>76</v>
      </c>
      <c r="F40" s="40">
        <v>0</v>
      </c>
      <c r="G40" s="41">
        <v>6272</v>
      </c>
      <c r="H40" s="55"/>
    </row>
    <row r="41" spans="1:8" ht="30" customHeight="1" x14ac:dyDescent="0.25">
      <c r="A41" s="59" t="s">
        <v>29</v>
      </c>
      <c r="B41" s="59"/>
      <c r="C41" s="21" t="s">
        <v>30</v>
      </c>
      <c r="D41" s="38" t="s">
        <v>31</v>
      </c>
      <c r="E41" s="39" t="s">
        <v>76</v>
      </c>
      <c r="F41" s="40">
        <v>0</v>
      </c>
      <c r="G41" s="41">
        <v>7797</v>
      </c>
      <c r="H41" s="55"/>
    </row>
    <row r="42" spans="1:8" ht="30" customHeight="1" x14ac:dyDescent="0.25">
      <c r="A42" s="59" t="s">
        <v>29</v>
      </c>
      <c r="B42" s="59"/>
      <c r="C42" s="21" t="s">
        <v>30</v>
      </c>
      <c r="D42" s="38" t="s">
        <v>31</v>
      </c>
      <c r="E42" s="39" t="s">
        <v>76</v>
      </c>
      <c r="F42" s="40">
        <v>0</v>
      </c>
      <c r="G42" s="41">
        <v>8213</v>
      </c>
      <c r="H42" s="55"/>
    </row>
    <row r="43" spans="1:8" ht="30" customHeight="1" x14ac:dyDescent="0.25">
      <c r="A43" s="59" t="s">
        <v>29</v>
      </c>
      <c r="B43" s="59"/>
      <c r="C43" s="21" t="s">
        <v>30</v>
      </c>
      <c r="D43" s="38" t="s">
        <v>31</v>
      </c>
      <c r="E43" s="39" t="s">
        <v>76</v>
      </c>
      <c r="F43" s="40">
        <v>0</v>
      </c>
      <c r="G43" s="41">
        <v>8568</v>
      </c>
      <c r="H43" s="55"/>
    </row>
    <row r="44" spans="1:8" ht="30" customHeight="1" x14ac:dyDescent="0.25">
      <c r="A44" s="59" t="s">
        <v>29</v>
      </c>
      <c r="B44" s="59"/>
      <c r="C44" s="21" t="s">
        <v>30</v>
      </c>
      <c r="D44" s="38" t="s">
        <v>31</v>
      </c>
      <c r="E44" s="39" t="s">
        <v>76</v>
      </c>
      <c r="F44" s="40">
        <v>0</v>
      </c>
      <c r="G44" s="41">
        <v>8962</v>
      </c>
      <c r="H44" s="55"/>
    </row>
    <row r="45" spans="1:8" ht="30" customHeight="1" x14ac:dyDescent="0.25">
      <c r="A45" s="59" t="s">
        <v>29</v>
      </c>
      <c r="B45" s="59"/>
      <c r="C45" s="21" t="s">
        <v>30</v>
      </c>
      <c r="D45" s="38" t="s">
        <v>31</v>
      </c>
      <c r="E45" s="39" t="s">
        <v>76</v>
      </c>
      <c r="F45" s="40">
        <v>0</v>
      </c>
      <c r="G45" s="41">
        <v>10112</v>
      </c>
      <c r="H45" s="55"/>
    </row>
    <row r="46" spans="1:8" ht="30" customHeight="1" x14ac:dyDescent="0.25">
      <c r="A46" s="59" t="s">
        <v>29</v>
      </c>
      <c r="B46" s="59"/>
      <c r="C46" s="21" t="s">
        <v>30</v>
      </c>
      <c r="D46" s="38" t="s">
        <v>31</v>
      </c>
      <c r="E46" s="39" t="s">
        <v>76</v>
      </c>
      <c r="F46" s="40">
        <v>0</v>
      </c>
      <c r="G46" s="41">
        <v>10197</v>
      </c>
      <c r="H46" s="55"/>
    </row>
    <row r="47" spans="1:8" ht="30" customHeight="1" x14ac:dyDescent="0.25">
      <c r="A47" s="59" t="s">
        <v>29</v>
      </c>
      <c r="B47" s="59"/>
      <c r="C47" s="21" t="s">
        <v>30</v>
      </c>
      <c r="D47" s="38" t="s">
        <v>31</v>
      </c>
      <c r="E47" s="39" t="s">
        <v>76</v>
      </c>
      <c r="F47" s="40">
        <v>0</v>
      </c>
      <c r="G47" s="41">
        <v>10433</v>
      </c>
      <c r="H47" s="55"/>
    </row>
    <row r="48" spans="1:8" ht="30" customHeight="1" x14ac:dyDescent="0.25">
      <c r="A48" s="59" t="s">
        <v>29</v>
      </c>
      <c r="B48" s="59"/>
      <c r="C48" s="21" t="s">
        <v>30</v>
      </c>
      <c r="D48" s="38" t="s">
        <v>31</v>
      </c>
      <c r="E48" s="39" t="s">
        <v>76</v>
      </c>
      <c r="F48" s="40">
        <v>0</v>
      </c>
      <c r="G48" s="41">
        <v>10954</v>
      </c>
      <c r="H48" s="55"/>
    </row>
    <row r="49" spans="1:8" ht="30" customHeight="1" x14ac:dyDescent="0.25">
      <c r="A49" s="59" t="s">
        <v>29</v>
      </c>
      <c r="B49" s="59"/>
      <c r="C49" s="21" t="s">
        <v>30</v>
      </c>
      <c r="D49" s="38" t="s">
        <v>31</v>
      </c>
      <c r="E49" s="39" t="s">
        <v>76</v>
      </c>
      <c r="F49" s="40">
        <v>0</v>
      </c>
      <c r="G49" s="41">
        <v>11816</v>
      </c>
      <c r="H49" s="55"/>
    </row>
    <row r="50" spans="1:8" ht="30" customHeight="1" x14ac:dyDescent="0.25">
      <c r="A50" s="59" t="s">
        <v>29</v>
      </c>
      <c r="B50" s="59"/>
      <c r="C50" s="21" t="s">
        <v>30</v>
      </c>
      <c r="D50" s="38" t="s">
        <v>31</v>
      </c>
      <c r="E50" s="39" t="s">
        <v>76</v>
      </c>
      <c r="F50" s="40">
        <v>0</v>
      </c>
      <c r="G50" s="41">
        <v>12033</v>
      </c>
      <c r="H50" s="55"/>
    </row>
    <row r="51" spans="1:8" ht="30" customHeight="1" x14ac:dyDescent="0.25">
      <c r="A51" s="59" t="s">
        <v>29</v>
      </c>
      <c r="B51" s="59"/>
      <c r="C51" s="21" t="s">
        <v>30</v>
      </c>
      <c r="D51" s="38" t="s">
        <v>31</v>
      </c>
      <c r="E51" s="39" t="s">
        <v>76</v>
      </c>
      <c r="F51" s="40">
        <v>0</v>
      </c>
      <c r="G51" s="41">
        <v>12738</v>
      </c>
      <c r="H51" s="55"/>
    </row>
    <row r="52" spans="1:8" ht="30" customHeight="1" x14ac:dyDescent="0.25">
      <c r="A52" s="59" t="s">
        <v>29</v>
      </c>
      <c r="B52" s="59"/>
      <c r="C52" s="21" t="s">
        <v>30</v>
      </c>
      <c r="D52" s="38" t="s">
        <v>31</v>
      </c>
      <c r="E52" s="39" t="s">
        <v>76</v>
      </c>
      <c r="F52" s="40">
        <v>0</v>
      </c>
      <c r="G52" s="41">
        <v>14297</v>
      </c>
      <c r="H52" s="55"/>
    </row>
    <row r="53" spans="1:8" ht="30" customHeight="1" x14ac:dyDescent="0.25">
      <c r="A53" s="59" t="s">
        <v>29</v>
      </c>
      <c r="B53" s="59"/>
      <c r="C53" s="21" t="s">
        <v>30</v>
      </c>
      <c r="D53" s="38" t="s">
        <v>31</v>
      </c>
      <c r="E53" s="39" t="s">
        <v>76</v>
      </c>
      <c r="F53" s="40">
        <v>0</v>
      </c>
      <c r="G53" s="41">
        <v>14361</v>
      </c>
      <c r="H53" s="55"/>
    </row>
    <row r="54" spans="1:8" ht="30" customHeight="1" x14ac:dyDescent="0.25">
      <c r="A54" s="59" t="s">
        <v>29</v>
      </c>
      <c r="B54" s="59"/>
      <c r="C54" s="21" t="s">
        <v>30</v>
      </c>
      <c r="D54" s="38" t="s">
        <v>31</v>
      </c>
      <c r="E54" s="39" t="s">
        <v>76</v>
      </c>
      <c r="F54" s="40">
        <v>0</v>
      </c>
      <c r="G54" s="41">
        <v>16473</v>
      </c>
      <c r="H54" s="55"/>
    </row>
    <row r="55" spans="1:8" ht="30" customHeight="1" x14ac:dyDescent="0.25">
      <c r="A55" s="59" t="s">
        <v>29</v>
      </c>
      <c r="B55" s="59"/>
      <c r="C55" s="21" t="s">
        <v>30</v>
      </c>
      <c r="D55" s="38" t="s">
        <v>31</v>
      </c>
      <c r="E55" s="39" t="s">
        <v>76</v>
      </c>
      <c r="F55" s="40">
        <v>0</v>
      </c>
      <c r="G55" s="41">
        <v>16477</v>
      </c>
      <c r="H55" s="55"/>
    </row>
    <row r="56" spans="1:8" ht="30" customHeight="1" x14ac:dyDescent="0.25">
      <c r="A56" s="59" t="s">
        <v>29</v>
      </c>
      <c r="B56" s="59"/>
      <c r="C56" s="21" t="s">
        <v>30</v>
      </c>
      <c r="D56" s="38" t="s">
        <v>31</v>
      </c>
      <c r="E56" s="39" t="s">
        <v>76</v>
      </c>
      <c r="F56" s="40">
        <v>0</v>
      </c>
      <c r="G56" s="41">
        <v>17032</v>
      </c>
      <c r="H56" s="55"/>
    </row>
    <row r="57" spans="1:8" ht="30" customHeight="1" x14ac:dyDescent="0.25">
      <c r="A57" s="59" t="s">
        <v>29</v>
      </c>
      <c r="B57" s="59"/>
      <c r="C57" s="21" t="s">
        <v>30</v>
      </c>
      <c r="D57" s="38" t="s">
        <v>31</v>
      </c>
      <c r="E57" s="39" t="s">
        <v>76</v>
      </c>
      <c r="F57" s="40">
        <v>0</v>
      </c>
      <c r="G57" s="41">
        <v>17244</v>
      </c>
      <c r="H57" s="55"/>
    </row>
    <row r="58" spans="1:8" ht="30" customHeight="1" x14ac:dyDescent="0.25">
      <c r="A58" s="59" t="s">
        <v>29</v>
      </c>
      <c r="B58" s="59"/>
      <c r="C58" s="21" t="s">
        <v>30</v>
      </c>
      <c r="D58" s="38" t="s">
        <v>31</v>
      </c>
      <c r="E58" s="39" t="s">
        <v>76</v>
      </c>
      <c r="F58" s="40">
        <v>0</v>
      </c>
      <c r="G58" s="41">
        <v>20528</v>
      </c>
      <c r="H58" s="55"/>
    </row>
    <row r="59" spans="1:8" ht="30" customHeight="1" x14ac:dyDescent="0.25">
      <c r="A59" s="59" t="s">
        <v>29</v>
      </c>
      <c r="B59" s="59"/>
      <c r="C59" s="21" t="s">
        <v>30</v>
      </c>
      <c r="D59" s="38" t="s">
        <v>31</v>
      </c>
      <c r="E59" s="39" t="s">
        <v>76</v>
      </c>
      <c r="F59" s="40">
        <v>0</v>
      </c>
      <c r="G59" s="41">
        <v>23465</v>
      </c>
      <c r="H59" s="55"/>
    </row>
    <row r="60" spans="1:8" ht="30" customHeight="1" x14ac:dyDescent="0.25">
      <c r="A60" s="59" t="s">
        <v>29</v>
      </c>
      <c r="B60" s="59"/>
      <c r="C60" s="21" t="s">
        <v>30</v>
      </c>
      <c r="D60" s="38" t="s">
        <v>31</v>
      </c>
      <c r="E60" s="39" t="s">
        <v>76</v>
      </c>
      <c r="F60" s="40">
        <v>0</v>
      </c>
      <c r="G60" s="41">
        <v>26051</v>
      </c>
      <c r="H60" s="55"/>
    </row>
    <row r="61" spans="1:8" ht="30" customHeight="1" x14ac:dyDescent="0.25">
      <c r="A61" s="59" t="s">
        <v>29</v>
      </c>
      <c r="B61" s="59"/>
      <c r="C61" s="21" t="s">
        <v>30</v>
      </c>
      <c r="D61" s="38" t="s">
        <v>31</v>
      </c>
      <c r="E61" s="39" t="s">
        <v>76</v>
      </c>
      <c r="F61" s="40">
        <v>0</v>
      </c>
      <c r="G61" s="41">
        <v>26366</v>
      </c>
      <c r="H61" s="55"/>
    </row>
    <row r="62" spans="1:8" ht="30" customHeight="1" x14ac:dyDescent="0.25">
      <c r="A62" s="59" t="s">
        <v>29</v>
      </c>
      <c r="B62" s="59"/>
      <c r="C62" s="21" t="s">
        <v>30</v>
      </c>
      <c r="D62" s="38" t="s">
        <v>31</v>
      </c>
      <c r="E62" s="39" t="s">
        <v>76</v>
      </c>
      <c r="F62" s="40">
        <v>0</v>
      </c>
      <c r="G62" s="41">
        <v>27659</v>
      </c>
      <c r="H62" s="55"/>
    </row>
    <row r="63" spans="1:8" ht="30" customHeight="1" x14ac:dyDescent="0.25">
      <c r="A63" s="59" t="s">
        <v>29</v>
      </c>
      <c r="B63" s="59"/>
      <c r="C63" s="21" t="s">
        <v>30</v>
      </c>
      <c r="D63" s="38" t="s">
        <v>31</v>
      </c>
      <c r="E63" s="39" t="s">
        <v>76</v>
      </c>
      <c r="F63" s="40">
        <v>0</v>
      </c>
      <c r="G63" s="41">
        <v>30371</v>
      </c>
      <c r="H63" s="55"/>
    </row>
    <row r="64" spans="1:8" ht="30" customHeight="1" x14ac:dyDescent="0.25">
      <c r="A64" s="59" t="s">
        <v>29</v>
      </c>
      <c r="B64" s="59"/>
      <c r="C64" s="21" t="s">
        <v>30</v>
      </c>
      <c r="D64" s="38" t="s">
        <v>31</v>
      </c>
      <c r="E64" s="39" t="s">
        <v>76</v>
      </c>
      <c r="F64" s="40">
        <v>0</v>
      </c>
      <c r="G64" s="41">
        <v>31612</v>
      </c>
      <c r="H64" s="55"/>
    </row>
    <row r="65" spans="1:8" ht="30" customHeight="1" x14ac:dyDescent="0.25">
      <c r="A65" s="59" t="s">
        <v>29</v>
      </c>
      <c r="B65" s="59"/>
      <c r="C65" s="21" t="s">
        <v>30</v>
      </c>
      <c r="D65" s="38" t="s">
        <v>31</v>
      </c>
      <c r="E65" s="39" t="s">
        <v>76</v>
      </c>
      <c r="F65" s="40">
        <v>0</v>
      </c>
      <c r="G65" s="41">
        <v>33449</v>
      </c>
      <c r="H65" s="55"/>
    </row>
    <row r="66" spans="1:8" ht="30" customHeight="1" x14ac:dyDescent="0.25">
      <c r="A66" s="59" t="s">
        <v>29</v>
      </c>
      <c r="B66" s="59"/>
      <c r="C66" s="21" t="s">
        <v>30</v>
      </c>
      <c r="D66" s="38" t="s">
        <v>31</v>
      </c>
      <c r="E66" s="39" t="s">
        <v>76</v>
      </c>
      <c r="F66" s="40">
        <v>0</v>
      </c>
      <c r="G66" s="41">
        <v>33704</v>
      </c>
      <c r="H66" s="55"/>
    </row>
    <row r="67" spans="1:8" ht="30" customHeight="1" x14ac:dyDescent="0.25">
      <c r="A67" s="59" t="s">
        <v>29</v>
      </c>
      <c r="B67" s="59"/>
      <c r="C67" s="21" t="s">
        <v>30</v>
      </c>
      <c r="D67" s="38" t="s">
        <v>31</v>
      </c>
      <c r="E67" s="39" t="s">
        <v>76</v>
      </c>
      <c r="F67" s="40">
        <v>0</v>
      </c>
      <c r="G67" s="41">
        <v>43991</v>
      </c>
      <c r="H67" s="55"/>
    </row>
    <row r="68" spans="1:8" ht="30" customHeight="1" x14ac:dyDescent="0.25">
      <c r="A68" s="59" t="s">
        <v>29</v>
      </c>
      <c r="B68" s="59"/>
      <c r="C68" s="21" t="s">
        <v>30</v>
      </c>
      <c r="D68" s="38" t="s">
        <v>31</v>
      </c>
      <c r="E68" s="39" t="s">
        <v>76</v>
      </c>
      <c r="F68" s="40">
        <v>0</v>
      </c>
      <c r="G68" s="41">
        <v>47724</v>
      </c>
      <c r="H68" s="55"/>
    </row>
    <row r="69" spans="1:8" ht="30" customHeight="1" x14ac:dyDescent="0.25">
      <c r="A69" s="59" t="s">
        <v>29</v>
      </c>
      <c r="B69" s="59"/>
      <c r="C69" s="21" t="s">
        <v>30</v>
      </c>
      <c r="D69" s="38" t="s">
        <v>31</v>
      </c>
      <c r="E69" s="39" t="s">
        <v>76</v>
      </c>
      <c r="F69" s="40">
        <v>0</v>
      </c>
      <c r="G69" s="41">
        <v>52340</v>
      </c>
      <c r="H69" s="55"/>
    </row>
    <row r="70" spans="1:8" ht="30" customHeight="1" x14ac:dyDescent="0.25">
      <c r="A70" s="59" t="s">
        <v>29</v>
      </c>
      <c r="B70" s="59"/>
      <c r="C70" s="21" t="s">
        <v>30</v>
      </c>
      <c r="D70" s="38" t="s">
        <v>31</v>
      </c>
      <c r="E70" s="39" t="s">
        <v>76</v>
      </c>
      <c r="F70" s="40">
        <v>0</v>
      </c>
      <c r="G70" s="41">
        <v>67747</v>
      </c>
      <c r="H70" s="55"/>
    </row>
    <row r="71" spans="1:8" ht="30" customHeight="1" x14ac:dyDescent="0.25">
      <c r="A71" s="59" t="s">
        <v>29</v>
      </c>
      <c r="B71" s="59"/>
      <c r="C71" s="21" t="s">
        <v>30</v>
      </c>
      <c r="D71" s="38" t="s">
        <v>31</v>
      </c>
      <c r="E71" s="39" t="s">
        <v>76</v>
      </c>
      <c r="F71" s="40">
        <v>0</v>
      </c>
      <c r="G71" s="41">
        <v>92989</v>
      </c>
      <c r="H71" s="55"/>
    </row>
    <row r="72" spans="1:8" ht="30" customHeight="1" x14ac:dyDescent="0.25">
      <c r="A72" s="59" t="s">
        <v>29</v>
      </c>
      <c r="B72" s="59"/>
      <c r="C72" s="21" t="s">
        <v>30</v>
      </c>
      <c r="D72" s="38" t="s">
        <v>31</v>
      </c>
      <c r="E72" s="39" t="s">
        <v>76</v>
      </c>
      <c r="F72" s="40">
        <v>0</v>
      </c>
      <c r="G72" s="41">
        <v>111592</v>
      </c>
      <c r="H72" s="55"/>
    </row>
    <row r="73" spans="1:8" ht="30" customHeight="1" thickBot="1" x14ac:dyDescent="0.3">
      <c r="A73" s="59" t="s">
        <v>29</v>
      </c>
      <c r="B73" s="59"/>
      <c r="C73" s="21" t="s">
        <v>30</v>
      </c>
      <c r="D73" s="31" t="s">
        <v>31</v>
      </c>
      <c r="E73" s="32" t="s">
        <v>76</v>
      </c>
      <c r="F73" s="33">
        <v>0</v>
      </c>
      <c r="G73" s="34">
        <v>118679</v>
      </c>
      <c r="H73" s="55"/>
    </row>
    <row r="74" spans="1:8" ht="18" customHeight="1" thickBot="1" x14ac:dyDescent="0.3">
      <c r="A74" s="7"/>
      <c r="B74" s="7"/>
      <c r="C74" s="7"/>
      <c r="D74" s="13"/>
      <c r="E74" s="13"/>
      <c r="F74" s="23" t="s">
        <v>67</v>
      </c>
      <c r="G74" s="24">
        <f>SUM(G37:G73)</f>
        <v>1015259</v>
      </c>
      <c r="H74" s="55">
        <v>1346</v>
      </c>
    </row>
    <row r="75" spans="1:8" ht="30" customHeight="1" thickBot="1" x14ac:dyDescent="0.3">
      <c r="A75" s="59" t="s">
        <v>29</v>
      </c>
      <c r="B75" s="59"/>
      <c r="C75" s="7" t="s">
        <v>30</v>
      </c>
      <c r="D75" s="7" t="s">
        <v>34</v>
      </c>
      <c r="E75" s="42" t="s">
        <v>77</v>
      </c>
      <c r="F75" s="19">
        <v>0</v>
      </c>
      <c r="G75" s="20">
        <v>2068993</v>
      </c>
      <c r="H75" s="55">
        <v>1347</v>
      </c>
    </row>
    <row r="76" spans="1:8" ht="30" customHeight="1" thickBot="1" x14ac:dyDescent="0.3">
      <c r="A76" s="59" t="s">
        <v>29</v>
      </c>
      <c r="B76" s="59"/>
      <c r="C76" s="7" t="s">
        <v>30</v>
      </c>
      <c r="D76" s="7" t="s">
        <v>39</v>
      </c>
      <c r="E76" s="42" t="s">
        <v>78</v>
      </c>
      <c r="F76" s="19">
        <v>0</v>
      </c>
      <c r="G76" s="20">
        <v>26739</v>
      </c>
      <c r="H76" s="55">
        <v>1348</v>
      </c>
    </row>
    <row r="77" spans="1:8" ht="30" customHeight="1" thickBot="1" x14ac:dyDescent="0.3">
      <c r="A77" s="59" t="s">
        <v>29</v>
      </c>
      <c r="B77" s="59"/>
      <c r="C77" s="7" t="s">
        <v>30</v>
      </c>
      <c r="D77" s="7" t="s">
        <v>42</v>
      </c>
      <c r="E77" s="42" t="s">
        <v>79</v>
      </c>
      <c r="F77" s="19">
        <v>0</v>
      </c>
      <c r="G77" s="20">
        <v>42792</v>
      </c>
      <c r="H77" s="55">
        <v>1349</v>
      </c>
    </row>
    <row r="78" spans="1:8" ht="30" customHeight="1" thickBot="1" x14ac:dyDescent="0.3">
      <c r="A78" s="59" t="s">
        <v>29</v>
      </c>
      <c r="B78" s="59"/>
      <c r="C78" s="7" t="s">
        <v>30</v>
      </c>
      <c r="D78" s="7" t="s">
        <v>37</v>
      </c>
      <c r="E78" s="42" t="s">
        <v>80</v>
      </c>
      <c r="F78" s="19">
        <v>0</v>
      </c>
      <c r="G78" s="20">
        <v>16175</v>
      </c>
      <c r="H78" s="55">
        <v>1350</v>
      </c>
    </row>
    <row r="79" spans="1:8" ht="30" customHeight="1" thickBot="1" x14ac:dyDescent="0.3">
      <c r="A79" s="59" t="s">
        <v>29</v>
      </c>
      <c r="B79" s="59"/>
      <c r="C79" s="7" t="s">
        <v>49</v>
      </c>
      <c r="D79" s="7" t="s">
        <v>50</v>
      </c>
      <c r="E79" s="42" t="s">
        <v>81</v>
      </c>
      <c r="F79" s="19">
        <v>0</v>
      </c>
      <c r="G79" s="20">
        <v>164663</v>
      </c>
      <c r="H79" s="55">
        <v>1351</v>
      </c>
    </row>
    <row r="80" spans="1:8" ht="30" customHeight="1" thickBot="1" x14ac:dyDescent="0.3">
      <c r="A80" s="59" t="s">
        <v>29</v>
      </c>
      <c r="B80" s="59"/>
      <c r="C80" s="7" t="s">
        <v>40</v>
      </c>
      <c r="D80" s="7" t="s">
        <v>41</v>
      </c>
      <c r="E80" s="42" t="s">
        <v>82</v>
      </c>
      <c r="F80" s="19">
        <v>0</v>
      </c>
      <c r="G80" s="20">
        <v>36176</v>
      </c>
      <c r="H80" s="55">
        <v>1352</v>
      </c>
    </row>
    <row r="81" spans="1:8" ht="30" customHeight="1" thickBot="1" x14ac:dyDescent="0.3">
      <c r="A81" s="59" t="s">
        <v>52</v>
      </c>
      <c r="B81" s="59"/>
      <c r="C81" s="7" t="s">
        <v>30</v>
      </c>
      <c r="D81" s="7" t="s">
        <v>53</v>
      </c>
      <c r="E81" s="42" t="s">
        <v>54</v>
      </c>
      <c r="F81" s="19">
        <v>0</v>
      </c>
      <c r="G81" s="20">
        <v>17896</v>
      </c>
      <c r="H81" s="55">
        <v>1353</v>
      </c>
    </row>
    <row r="82" spans="1:8" ht="30" customHeight="1" thickBot="1" x14ac:dyDescent="0.3">
      <c r="A82" s="59" t="s">
        <v>52</v>
      </c>
      <c r="B82" s="59"/>
      <c r="C82" s="7" t="s">
        <v>30</v>
      </c>
      <c r="D82" s="7" t="s">
        <v>55</v>
      </c>
      <c r="E82" s="42" t="s">
        <v>56</v>
      </c>
      <c r="F82" s="19">
        <v>0</v>
      </c>
      <c r="G82" s="20">
        <v>519105</v>
      </c>
      <c r="H82" s="55">
        <v>1354</v>
      </c>
    </row>
    <row r="83" spans="1:8" x14ac:dyDescent="0.25">
      <c r="A83" s="1"/>
      <c r="B83" s="1"/>
      <c r="C83" s="1"/>
      <c r="D83" s="1"/>
      <c r="E83" s="1"/>
      <c r="F83" s="5"/>
      <c r="G83" s="14">
        <f>G19+G20+G21+G22+G23+G24+G27+G28+G33+G36+G74+G75+G76+G77+G78+G79+G80+G81+G82</f>
        <v>10781850</v>
      </c>
    </row>
    <row r="84" spans="1:8" x14ac:dyDescent="0.25">
      <c r="A84" s="1"/>
      <c r="B84" s="1"/>
      <c r="C84" s="1"/>
      <c r="D84" s="1"/>
      <c r="E84" s="1"/>
      <c r="F84" s="5"/>
      <c r="G84" s="11">
        <v>10781850</v>
      </c>
    </row>
    <row r="85" spans="1:8" x14ac:dyDescent="0.25">
      <c r="A85" s="1"/>
      <c r="B85" s="1"/>
      <c r="C85" s="1"/>
      <c r="D85" s="1"/>
      <c r="E85" s="1"/>
      <c r="F85" s="5"/>
      <c r="G85" s="25">
        <f>G83-G84</f>
        <v>0</v>
      </c>
    </row>
    <row r="86" spans="1:8" x14ac:dyDescent="0.25">
      <c r="A86" s="56"/>
      <c r="B86" s="56"/>
      <c r="C86" s="56"/>
      <c r="D86" s="56"/>
      <c r="E86" s="56"/>
      <c r="F86" s="56"/>
      <c r="G86" s="56"/>
    </row>
    <row r="87" spans="1:8" x14ac:dyDescent="0.25">
      <c r="A87" s="58"/>
      <c r="B87" s="58"/>
      <c r="C87" s="58"/>
      <c r="D87" s="58"/>
      <c r="E87" s="58"/>
      <c r="F87" s="58"/>
      <c r="G87" s="58"/>
    </row>
    <row r="88" spans="1:8" ht="15" customHeight="1" x14ac:dyDescent="0.25">
      <c r="A88" s="57" t="s">
        <v>57</v>
      </c>
      <c r="B88" s="57"/>
      <c r="C88" s="57"/>
      <c r="D88" s="57"/>
      <c r="E88" s="57"/>
      <c r="F88" s="57"/>
      <c r="G88" s="57"/>
    </row>
    <row r="89" spans="1:8" x14ac:dyDescent="0.25">
      <c r="A89" s="58"/>
      <c r="B89" s="58"/>
      <c r="C89" s="58"/>
      <c r="D89" s="58"/>
      <c r="E89" s="58"/>
      <c r="F89" s="58"/>
      <c r="G89" s="58"/>
    </row>
    <row r="90" spans="1:8" x14ac:dyDescent="0.25">
      <c r="A90" s="7" t="s">
        <v>58</v>
      </c>
      <c r="B90" s="8">
        <v>5062199758</v>
      </c>
      <c r="C90" s="9"/>
    </row>
    <row r="91" spans="1:8" x14ac:dyDescent="0.25">
      <c r="A91" s="7" t="s">
        <v>59</v>
      </c>
      <c r="B91" s="10">
        <v>0</v>
      </c>
      <c r="C91" s="9"/>
    </row>
    <row r="92" spans="1:8" x14ac:dyDescent="0.25">
      <c r="A92" s="7" t="s">
        <v>60</v>
      </c>
      <c r="B92" s="10">
        <v>0</v>
      </c>
      <c r="C92" s="9"/>
    </row>
    <row r="93" spans="1:8" x14ac:dyDescent="0.25">
      <c r="A93" s="7" t="s">
        <v>61</v>
      </c>
      <c r="B93" s="8">
        <v>200839</v>
      </c>
      <c r="C93" s="11">
        <f>B93+B94</f>
        <v>10781850</v>
      </c>
    </row>
    <row r="94" spans="1:8" x14ac:dyDescent="0.25">
      <c r="A94" s="7" t="s">
        <v>62</v>
      </c>
      <c r="B94" s="8">
        <v>10581011</v>
      </c>
      <c r="C94" s="9"/>
    </row>
    <row r="95" spans="1:8" x14ac:dyDescent="0.25">
      <c r="A95" s="7" t="s">
        <v>63</v>
      </c>
      <c r="B95" s="12">
        <v>5072981608</v>
      </c>
      <c r="C95" s="9"/>
    </row>
    <row r="96" spans="1:8" x14ac:dyDescent="0.25">
      <c r="A96" s="6"/>
    </row>
    <row r="97" spans="1:1" x14ac:dyDescent="0.25">
      <c r="A97" s="6"/>
    </row>
    <row r="98" spans="1:1" x14ac:dyDescent="0.25">
      <c r="A98" s="6"/>
    </row>
  </sheetData>
  <sortState xmlns:xlrd2="http://schemas.microsoft.com/office/spreadsheetml/2017/richdata2" ref="C19:G80">
    <sortCondition ref="D19:D80"/>
  </sortState>
  <mergeCells count="74">
    <mergeCell ref="A3:E3"/>
    <mergeCell ref="A4:E4"/>
    <mergeCell ref="A1:E1"/>
    <mergeCell ref="A2:F2"/>
    <mergeCell ref="A17:B18"/>
    <mergeCell ref="C17:C18"/>
    <mergeCell ref="D17:D18"/>
    <mergeCell ref="E17:E18"/>
    <mergeCell ref="A31:B31"/>
    <mergeCell ref="A19:B19"/>
    <mergeCell ref="A20:B20"/>
    <mergeCell ref="A21:B21"/>
    <mergeCell ref="A22:B22"/>
    <mergeCell ref="A23:B23"/>
    <mergeCell ref="A24:B24"/>
    <mergeCell ref="A25:B25"/>
    <mergeCell ref="A26:B26"/>
    <mergeCell ref="A28:B28"/>
    <mergeCell ref="A29:B29"/>
    <mergeCell ref="A30:B30"/>
    <mergeCell ref="A45:B45"/>
    <mergeCell ref="A32:B32"/>
    <mergeCell ref="A34:B34"/>
    <mergeCell ref="A35:B35"/>
    <mergeCell ref="A37:B37"/>
    <mergeCell ref="A38:B38"/>
    <mergeCell ref="A39:B39"/>
    <mergeCell ref="A40:B40"/>
    <mergeCell ref="A41:B41"/>
    <mergeCell ref="A42:B42"/>
    <mergeCell ref="A43:B43"/>
    <mergeCell ref="A44:B44"/>
    <mergeCell ref="A57:B57"/>
    <mergeCell ref="A46:B46"/>
    <mergeCell ref="A47:B47"/>
    <mergeCell ref="A48:B48"/>
    <mergeCell ref="A49:B49"/>
    <mergeCell ref="A50:B50"/>
    <mergeCell ref="A51:B51"/>
    <mergeCell ref="A52:B52"/>
    <mergeCell ref="A53:B53"/>
    <mergeCell ref="A54:B54"/>
    <mergeCell ref="A55:B55"/>
    <mergeCell ref="A56:B56"/>
    <mergeCell ref="A69:B69"/>
    <mergeCell ref="A58:B58"/>
    <mergeCell ref="A59:B59"/>
    <mergeCell ref="A60:B60"/>
    <mergeCell ref="A61:B61"/>
    <mergeCell ref="A62:B62"/>
    <mergeCell ref="A63:B63"/>
    <mergeCell ref="A89:G89"/>
    <mergeCell ref="A77:B77"/>
    <mergeCell ref="A78:B78"/>
    <mergeCell ref="A79:B79"/>
    <mergeCell ref="A80:B80"/>
    <mergeCell ref="A81:B81"/>
    <mergeCell ref="A82:B82"/>
    <mergeCell ref="A86:G86"/>
    <mergeCell ref="A15:G15"/>
    <mergeCell ref="A16:G16"/>
    <mergeCell ref="A87:G87"/>
    <mergeCell ref="A88:G88"/>
    <mergeCell ref="A70:B70"/>
    <mergeCell ref="A71:B71"/>
    <mergeCell ref="A72:B72"/>
    <mergeCell ref="A73:B73"/>
    <mergeCell ref="A75:B75"/>
    <mergeCell ref="A76:B76"/>
    <mergeCell ref="A64:B64"/>
    <mergeCell ref="A65:B65"/>
    <mergeCell ref="A66:B66"/>
    <mergeCell ref="A67:B67"/>
    <mergeCell ref="A68:B68"/>
  </mergeCells>
  <pageMargins left="0.75" right="0.75" top="1" bottom="1" header="0.5" footer="0.5"/>
  <pageSetup scale="63" fitToHeight="0" orientation="portrait" horizontalDpi="4294967293" verticalDpi="4294967293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1</vt:i4>
      </vt:variant>
    </vt:vector>
  </HeadingPairs>
  <TitlesOfParts>
    <vt:vector size="1" baseType="lpstr">
      <vt:lpstr>9210059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Andrade Navarro, Luis Pablo, CENABAST</dc:creator>
  <cp:lastModifiedBy>Bahamondes Mendez, Paola Gladys, CENABAST</cp:lastModifiedBy>
  <cp:lastPrinted>2020-04-01T14:39:35Z</cp:lastPrinted>
  <dcterms:created xsi:type="dcterms:W3CDTF">2020-04-01T12:28:09Z</dcterms:created>
  <dcterms:modified xsi:type="dcterms:W3CDTF">2020-04-02T14:57:30Z</dcterms:modified>
</cp:coreProperties>
</file>