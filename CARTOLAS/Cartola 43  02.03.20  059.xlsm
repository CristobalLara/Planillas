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1DFB9F37-06D7-49FD-954F-8A82939B02F6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9210059" sheetId="2" r:id="rId1"/>
    <sheet name="9210920" sheetId="3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7" i="3" l="1"/>
  <c r="G28" i="3" s="1"/>
  <c r="C39" i="3"/>
  <c r="G27" i="2" l="1"/>
  <c r="G36" i="2"/>
  <c r="G45" i="2" l="1"/>
  <c r="G46" i="2"/>
  <c r="C54" i="2"/>
</calcChain>
</file>

<file path=xl/sharedStrings.xml><?xml version="1.0" encoding="utf-8"?>
<sst xmlns="http://schemas.openxmlformats.org/spreadsheetml/2006/main" count="209" uniqueCount="93">
  <si>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</si>
  <si>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</si>
  <si>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</si>
  <si>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</si>
  <si>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</si>
  <si>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</si>
  <si>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</si>
  <si>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</si>
  <si>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</si>
  <si>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</si>
  <si>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</si>
  <si>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</si>
  <si>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</si>
  <si>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</si>
  <si>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</si>
  <si>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</si>
  <si>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</si>
  <si>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</si>
  <si>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</si>
  <si>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</si>
  <si>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</si>
  <si>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</si>
  <si>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</si>
  <si>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</si>
  <si>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</si>
  <si>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</si>
  <si>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</si>
  <si>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</si>
  <si>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</si>
  <si>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02-03-2020  </t>
  </si>
  <si>
    <t>STGO.PRINCIPAL </t>
  </si>
  <si>
    <t>7076581 </t>
  </si>
  <si>
    <t>TRANSFERENCIA INTERNET A BANCO ESTADO S/TC CLIENTE</t>
  </si>
  <si>
    <t>7125025 </t>
  </si>
  <si>
    <t>CARGO TRANSFERENCIA PAG ALTO VALOR INTERN</t>
  </si>
  <si>
    <t>7125024 </t>
  </si>
  <si>
    <t>7094559 </t>
  </si>
  <si>
    <t>7081132 </t>
  </si>
  <si>
    <t>0215036 </t>
  </si>
  <si>
    <t>0210712 </t>
  </si>
  <si>
    <t>0212425 </t>
  </si>
  <si>
    <t>0203227 </t>
  </si>
  <si>
    <t>0204066 </t>
  </si>
  <si>
    <t>0206535 </t>
  </si>
  <si>
    <t>0207811 </t>
  </si>
  <si>
    <t>0210149 </t>
  </si>
  <si>
    <t>0207218 </t>
  </si>
  <si>
    <t>0201714 </t>
  </si>
  <si>
    <t>0201769 </t>
  </si>
  <si>
    <t>1350016 </t>
  </si>
  <si>
    <t>0204161 </t>
  </si>
  <si>
    <t>0204266 </t>
  </si>
  <si>
    <t>0203645 </t>
  </si>
  <si>
    <t>03-03-2020  </t>
  </si>
  <si>
    <t>0001077 </t>
  </si>
  <si>
    <t>TRANSFERENCIA OTRO BANCO DE ILUSTRE MUNICIPALIDAD DE COBQUECURA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</si>
  <si>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</si>
  <si>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</si>
  <si>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</si>
  <si>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</si>
  <si>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</si>
  <si>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</si>
  <si>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</si>
  <si>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CENTRAL DE ABASTECIMIENTOS SNS EQUIP Y</t>
  </si>
  <si>
    <t>0205676 </t>
  </si>
  <si>
    <t>0001711 </t>
  </si>
  <si>
    <t>Numeros</t>
  </si>
  <si>
    <t>Ingresos</t>
  </si>
  <si>
    <t>12   Comprobantes</t>
  </si>
  <si>
    <t>total</t>
  </si>
  <si>
    <t>81.698.900-0 STGO.PRINCIPAL </t>
  </si>
  <si>
    <t>PAGOS VARIOS DESDE BCO BCI PONTIFICIA UC BELEN</t>
  </si>
  <si>
    <t>ABONO PAGO A PROVEEDORES SERVICIO DE SALUD DE TALCAHUANO</t>
  </si>
  <si>
    <t>ABONO PAGO A PROVEEDORES SERVICIO DE SALUD DEL BIO BIO</t>
  </si>
  <si>
    <t>ABONO PAGO A PROVEEDORES SERVICIO DE SALUD DE ATACAMA</t>
  </si>
  <si>
    <t>ABONO PAGO A PROVEEDORES SERVICIO DE SALUD VIÑA QUILLOTA</t>
  </si>
  <si>
    <t>ABONO PAGO A PROVEEDORES HOSPITAL DE NACIMIENTO</t>
  </si>
  <si>
    <t>ABONO PAGO A PROVEEDORES HOSPITAL DE LIMACHE</t>
  </si>
  <si>
    <t>ABONO PAGO A PROVEEDORES HOSPITAL DE QUILLOTA</t>
  </si>
  <si>
    <t>ABONO PAGO A PROVEEDORES HOSPITAL DE TOME</t>
  </si>
  <si>
    <t>ABONO PAGO A PROVEEDORES HOSPITAL DE QUIRIHUE</t>
  </si>
  <si>
    <t>ABONO PAGO A PROVEEDORES HOSPITAL DE CASABLANCA</t>
  </si>
  <si>
    <t>ABONO PAGO A PROVEEDORES CONSULTORIO DIRECCION DE SALUD RURAL</t>
  </si>
  <si>
    <t>ABONO PAGO A PROVEEDORES CESFAM LIRQUEN</t>
  </si>
  <si>
    <t>ABONO PAGO A PROVEEDORES MUNICIPALIDAD DE NUEVA IMPERIAL</t>
  </si>
  <si>
    <t>ABONO PAGO A PROVEEDORES HOSPITAL DE CAUQUENES</t>
  </si>
  <si>
    <t>NUMEROS</t>
  </si>
  <si>
    <t>INGRESOS</t>
  </si>
  <si>
    <t>12  COMPROBANTES</t>
  </si>
  <si>
    <t>ABONO PAGO A PROVEEDORES HOSPITAL DE LOS ANDES</t>
  </si>
  <si>
    <t>61.608.108-K STGO.PRINCIPAL </t>
  </si>
  <si>
    <t>TRANSFERENCIA SISTEMA PAGO ALTO VALOR SERVICIO DE SALUD SUR UNIDAD HOSPITALARIA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</si>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</sst>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21" fillId="0" borderId="0" xfId="0" applyFont="1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0" fontId="21" fillId="0" borderId="10" xfId="0" applyFont="1" applyBorder="1" applyAlignment="1">
      <alignment horizontal="right" wrapText="1"/>
    </xf>
    <xf numFmtId="3" fontId="21" fillId="0" borderId="10" xfId="0" applyNumberFormat="1" applyFont="1" applyBorder="1" applyAlignment="1">
      <alignment horizontal="right" wrapText="1"/>
    </xf>
    <xf numFmtId="0" fontId="0" fillId="0" borderId="10" xfId="0" applyBorder="1"/>
    <xf numFmtId="0" fontId="0" fillId="0" borderId="0" xfId="0" applyBorder="1" applyAlignment="1">
      <alignment wrapText="1"/>
    </xf>
    <xf numFmtId="0" fontId="21" fillId="0" borderId="0" xfId="0" applyFont="1" applyBorder="1" applyAlignment="1">
      <alignment horizontal="right" wrapText="1"/>
    </xf>
    <xf numFmtId="0" fontId="0" fillId="0" borderId="0" xfId="0" applyBorder="1"/>
    <xf numFmtId="3" fontId="0" fillId="0" borderId="10" xfId="0" applyNumberFormat="1" applyBorder="1" applyAlignment="1">
      <alignment horizontal="right" wrapText="1"/>
    </xf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0" fontId="0" fillId="0" borderId="11" xfId="0" applyBorder="1" applyAlignment="1">
      <alignment wrapText="1"/>
    </xf>
    <xf numFmtId="0" fontId="21" fillId="0" borderId="11" xfId="0" applyFont="1" applyBorder="1" applyAlignment="1">
      <alignment horizontal="right" wrapText="1"/>
    </xf>
    <xf numFmtId="3" fontId="21" fillId="0" borderId="11" xfId="0" applyNumberFormat="1" applyFont="1" applyBorder="1" applyAlignment="1">
      <alignment horizontal="right" wrapText="1"/>
    </xf>
    <xf numFmtId="0" fontId="16" fillId="0" borderId="13" xfId="0" applyFont="1" applyBorder="1" applyAlignment="1">
      <alignment horizontal="right" vertical="top" wrapText="1"/>
    </xf>
    <xf numFmtId="0" fontId="16" fillId="0" borderId="14" xfId="0" applyFont="1" applyBorder="1"/>
    <xf numFmtId="0" fontId="16" fillId="0" borderId="16" xfId="0" applyFont="1" applyBorder="1" applyAlignment="1">
      <alignment horizontal="right" vertical="top" wrapText="1"/>
    </xf>
    <xf numFmtId="0" fontId="16" fillId="0" borderId="17" xfId="0" applyFont="1" applyBorder="1"/>
    <xf numFmtId="0" fontId="22" fillId="0" borderId="0" xfId="0" applyFont="1"/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21" fillId="0" borderId="19" xfId="0" applyFont="1" applyBorder="1" applyAlignment="1">
      <alignment horizontal="right" wrapText="1"/>
    </xf>
    <xf numFmtId="0" fontId="0" fillId="0" borderId="20" xfId="0" applyBorder="1"/>
    <xf numFmtId="3" fontId="23" fillId="0" borderId="18" xfId="0" applyNumberFormat="1" applyFont="1" applyBorder="1" applyAlignment="1">
      <alignment horizontal="right" wrapText="1"/>
    </xf>
    <xf numFmtId="0" fontId="0" fillId="0" borderId="19" xfId="0" applyBorder="1" applyAlignment="1">
      <alignment wrapText="1"/>
    </xf>
    <xf numFmtId="0" fontId="0" fillId="0" borderId="21" xfId="0" applyBorder="1" applyAlignment="1">
      <alignment wrapText="1"/>
    </xf>
    <xf numFmtId="0" fontId="21" fillId="0" borderId="21" xfId="0" applyFont="1" applyBorder="1" applyAlignment="1">
      <alignment horizontal="right" wrapText="1"/>
    </xf>
    <xf numFmtId="0" fontId="21" fillId="0" borderId="22" xfId="0" applyFont="1" applyBorder="1" applyAlignment="1">
      <alignment horizontal="right" wrapText="1"/>
    </xf>
    <xf numFmtId="3" fontId="23" fillId="0" borderId="23" xfId="0" applyNumberFormat="1" applyFont="1" applyBorder="1" applyAlignment="1">
      <alignment horizontal="right" wrapText="1"/>
    </xf>
    <xf numFmtId="0" fontId="16" fillId="0" borderId="12" xfId="0" applyFont="1" applyBorder="1" applyAlignment="1">
      <alignment wrapText="1"/>
    </xf>
    <xf numFmtId="0" fontId="16" fillId="0" borderId="13" xfId="0" applyFont="1" applyBorder="1" applyAlignment="1">
      <alignment wrapText="1"/>
    </xf>
    <xf numFmtId="0" fontId="23" fillId="0" borderId="13" xfId="0" applyFont="1" applyBorder="1" applyAlignment="1">
      <alignment horizontal="right" wrapText="1"/>
    </xf>
    <xf numFmtId="3" fontId="23" fillId="0" borderId="14" xfId="0" applyNumberFormat="1" applyFont="1" applyBorder="1" applyAlignment="1">
      <alignment horizontal="right" wrapText="1"/>
    </xf>
    <xf numFmtId="0" fontId="16" fillId="0" borderId="24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23" fillId="0" borderId="0" xfId="0" applyFont="1" applyBorder="1" applyAlignment="1">
      <alignment horizontal="right" wrapText="1"/>
    </xf>
    <xf numFmtId="3" fontId="23" fillId="0" borderId="25" xfId="0" applyNumberFormat="1" applyFont="1" applyBorder="1" applyAlignment="1">
      <alignment horizontal="right" wrapText="1"/>
    </xf>
    <xf numFmtId="0" fontId="16" fillId="0" borderId="15" xfId="0" applyFont="1" applyBorder="1" applyAlignment="1">
      <alignment wrapText="1"/>
    </xf>
    <xf numFmtId="0" fontId="16" fillId="0" borderId="16" xfId="0" applyFont="1" applyBorder="1" applyAlignment="1">
      <alignment wrapText="1"/>
    </xf>
    <xf numFmtId="0" fontId="23" fillId="0" borderId="16" xfId="0" applyFont="1" applyBorder="1" applyAlignment="1">
      <alignment horizontal="right" wrapText="1"/>
    </xf>
    <xf numFmtId="3" fontId="23" fillId="0" borderId="17" xfId="0" applyNumberFormat="1" applyFont="1" applyBorder="1" applyAlignment="1">
      <alignment horizontal="right" wrapText="1"/>
    </xf>
    <xf numFmtId="0" fontId="16" fillId="0" borderId="11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6" fillId="0" borderId="21" xfId="0" applyFont="1" applyBorder="1" applyAlignment="1">
      <alignment wrapText="1"/>
    </xf>
    <xf numFmtId="0" fontId="21" fillId="0" borderId="27" xfId="0" applyFont="1" applyBorder="1" applyAlignment="1">
      <alignment horizontal="right" wrapText="1"/>
    </xf>
    <xf numFmtId="3" fontId="23" fillId="0" borderId="28" xfId="0" applyNumberFormat="1" applyFont="1" applyBorder="1" applyAlignment="1">
      <alignment horizontal="right" wrapText="1"/>
    </xf>
    <xf numFmtId="0" fontId="0" fillId="0" borderId="10" xfId="0" applyBorder="1" applyAlignment="1">
      <alignment wrapText="1"/>
    </xf>
    <xf numFmtId="0" fontId="0" fillId="0" borderId="0" xfId="0" applyAlignment="1">
      <alignment wrapText="1"/>
    </xf>
    <xf numFmtId="0" fontId="0" fillId="0" borderId="11" xfId="0" applyBorder="1" applyAlignment="1">
      <alignment wrapText="1"/>
    </xf>
    <xf numFmtId="3" fontId="21" fillId="0" borderId="0" xfId="0" applyNumberFormat="1" applyFont="1" applyBorder="1" applyAlignment="1">
      <alignment horizontal="right" wrapText="1"/>
    </xf>
    <xf numFmtId="0" fontId="22" fillId="0" borderId="26" xfId="0" applyFont="1" applyBorder="1" applyAlignment="1">
      <alignment horizontal="center"/>
    </xf>
    <xf numFmtId="0" fontId="22" fillId="0" borderId="20" xfId="0" applyFont="1" applyBorder="1" applyAlignment="1">
      <alignment horizontal="center"/>
    </xf>
    <xf numFmtId="0" fontId="22" fillId="0" borderId="10" xfId="0" applyFont="1" applyBorder="1" applyAlignment="1">
      <alignment horizontal="center"/>
    </xf>
    <xf numFmtId="0" fontId="0" fillId="0" borderId="29" xfId="0" applyBorder="1" applyAlignment="1">
      <alignment wrapText="1"/>
    </xf>
    <xf numFmtId="0" fontId="16" fillId="0" borderId="29" xfId="0" applyFont="1" applyBorder="1" applyAlignment="1">
      <alignment wrapText="1"/>
    </xf>
    <xf numFmtId="0" fontId="21" fillId="0" borderId="30" xfId="0" applyFont="1" applyBorder="1" applyAlignment="1">
      <alignment horizontal="right" wrapText="1"/>
    </xf>
    <xf numFmtId="0" fontId="22" fillId="0" borderId="26" xfId="0" applyFont="1" applyBorder="1" applyAlignment="1">
      <alignment horizontal="center" vertical="center"/>
    </xf>
    <xf numFmtId="0" fontId="0" fillId="0" borderId="10" xfId="0" applyBorder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16" fillId="0" borderId="0" xfId="0" applyFont="1" applyAlignment="1">
      <alignment wrapText="1"/>
    </xf>
    <xf numFmtId="0" fontId="20" fillId="0" borderId="0" xfId="0" applyFont="1" applyAlignment="1">
      <alignment wrapText="1"/>
    </xf>
    <xf numFmtId="0" fontId="16" fillId="0" borderId="12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0" fillId="0" borderId="11" xfId="0" applyBorder="1" applyAlignment="1">
      <alignment wrapText="1"/>
    </xf>
    <xf numFmtId="0" fontId="0" fillId="0" borderId="19" xfId="0" applyBorder="1" applyAlignment="1">
      <alignment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59"/>
  <sheetViews>
    <sheetView showGridLines="0" topLeftCell="A10" workbookViewId="0">
      <selection activeCell="E22" sqref="E22"/>
    </sheetView>
  </sheetViews>
  <sheetFormatPr baseColWidth="10" defaultRowHeight="15" x14ac:dyDescent="0.25"/>
  <cols>
    <col min="1" max="1" width="17.85546875" bestFit="1" customWidth="1"/>
    <col min="2" max="2" width="15.28515625" customWidth="1"/>
    <col min="3" max="3" width="16.140625" bestFit="1" customWidth="1"/>
    <col min="4" max="4" width="12.7109375" bestFit="1" customWidth="1"/>
    <col min="5" max="5" width="45.7109375" bestFit="1" customWidth="1"/>
    <col min="6" max="6" width="11.140625" bestFit="1" customWidth="1"/>
    <col min="7" max="7" width="10.7109375" bestFit="1" customWidth="1"/>
  </cols>
  <sheetData>
    <row r="1" spans="1:7" ht="18" customHeight="1" x14ac:dyDescent="0.25">
      <c r="A1" s="67" t="s">
        <v>0</v>
      </c>
      <c r="B1" s="67"/>
      <c r="C1" s="67"/>
      <c r="D1" s="67"/>
      <c r="E1" s="67"/>
    </row>
    <row r="2" spans="1:7" x14ac:dyDescent="0.25">
      <c r="A2" s="64"/>
      <c r="B2" s="64"/>
      <c r="C2" s="64"/>
      <c r="D2" s="64"/>
      <c r="E2" s="64"/>
      <c r="F2" s="64"/>
    </row>
    <row r="3" spans="1:7" ht="15" customHeight="1" x14ac:dyDescent="0.25">
      <c r="A3" s="66" t="s">
        <v>1</v>
      </c>
      <c r="B3" s="66"/>
      <c r="C3" s="66"/>
      <c r="D3" s="66"/>
      <c r="E3" s="66"/>
    </row>
    <row r="4" spans="1:7" x14ac:dyDescent="0.25">
      <c r="A4" s="64"/>
      <c r="B4" s="64"/>
      <c r="C4" s="64"/>
      <c r="D4" s="64"/>
      <c r="E4" s="64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43896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ht="21" x14ac:dyDescent="0.35">
      <c r="A9" s="1"/>
      <c r="F9" s="24" t="s">
        <v>68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43</v>
      </c>
      <c r="C12" s="1"/>
      <c r="D12" s="2" t="s">
        <v>16</v>
      </c>
      <c r="E12" s="4">
        <v>43892</v>
      </c>
    </row>
    <row r="13" spans="1:7" x14ac:dyDescent="0.25">
      <c r="A13" s="2" t="s">
        <v>17</v>
      </c>
      <c r="B13" s="3">
        <v>24</v>
      </c>
      <c r="C13" s="1"/>
      <c r="D13" s="2" t="s">
        <v>18</v>
      </c>
      <c r="E13" s="4">
        <v>43893</v>
      </c>
    </row>
    <row r="14" spans="1:7" x14ac:dyDescent="0.25">
      <c r="A14" s="2" t="s">
        <v>19</v>
      </c>
      <c r="B14" s="4">
        <v>43892</v>
      </c>
      <c r="C14" s="1"/>
      <c r="D14" s="1"/>
      <c r="E14" s="1"/>
    </row>
    <row r="15" spans="1:7" ht="15" customHeight="1" x14ac:dyDescent="0.25">
      <c r="A15" s="66" t="s">
        <v>20</v>
      </c>
      <c r="B15" s="66"/>
      <c r="C15" s="66"/>
      <c r="D15" s="66"/>
      <c r="E15" s="66"/>
      <c r="F15" s="66"/>
      <c r="G15" s="66"/>
    </row>
    <row r="16" spans="1:7" ht="15.75" thickBot="1" x14ac:dyDescent="0.3">
      <c r="A16" s="64"/>
      <c r="B16" s="64"/>
      <c r="C16" s="64"/>
      <c r="D16" s="64"/>
      <c r="E16" s="64"/>
      <c r="F16" s="64"/>
      <c r="G16" s="64"/>
    </row>
    <row r="17" spans="1:8" x14ac:dyDescent="0.25">
      <c r="A17" s="68" t="s">
        <v>21</v>
      </c>
      <c r="B17" s="69"/>
      <c r="C17" s="69" t="s">
        <v>22</v>
      </c>
      <c r="D17" s="69" t="s">
        <v>23</v>
      </c>
      <c r="E17" s="69" t="s">
        <v>24</v>
      </c>
      <c r="F17" s="20" t="s">
        <v>25</v>
      </c>
      <c r="G17" s="20" t="s">
        <v>27</v>
      </c>
      <c r="H17" s="21" t="s">
        <v>66</v>
      </c>
    </row>
    <row r="18" spans="1:8" ht="15.75" thickBot="1" x14ac:dyDescent="0.3">
      <c r="A18" s="70"/>
      <c r="B18" s="71"/>
      <c r="C18" s="71"/>
      <c r="D18" s="71"/>
      <c r="E18" s="71"/>
      <c r="F18" s="22" t="s">
        <v>26</v>
      </c>
      <c r="G18" s="22" t="s">
        <v>28</v>
      </c>
      <c r="H18" s="23" t="s">
        <v>67</v>
      </c>
    </row>
    <row r="19" spans="1:8" ht="32.25" thickBot="1" x14ac:dyDescent="0.4">
      <c r="A19" s="72" t="s">
        <v>29</v>
      </c>
      <c r="B19" s="72"/>
      <c r="C19" s="17" t="s">
        <v>30</v>
      </c>
      <c r="D19" s="17" t="s">
        <v>47</v>
      </c>
      <c r="E19" s="47" t="s">
        <v>72</v>
      </c>
      <c r="F19" s="33">
        <v>0</v>
      </c>
      <c r="G19" s="29">
        <v>732268</v>
      </c>
      <c r="H19" s="56">
        <v>960</v>
      </c>
    </row>
    <row r="20" spans="1:8" ht="32.25" thickBot="1" x14ac:dyDescent="0.4">
      <c r="A20" s="63" t="s">
        <v>29</v>
      </c>
      <c r="B20" s="63"/>
      <c r="C20" s="7" t="s">
        <v>30</v>
      </c>
      <c r="D20" s="7" t="s">
        <v>48</v>
      </c>
      <c r="E20" s="48" t="s">
        <v>73</v>
      </c>
      <c r="F20" s="27">
        <v>0</v>
      </c>
      <c r="G20" s="29">
        <v>859565</v>
      </c>
      <c r="H20" s="57">
        <v>961</v>
      </c>
    </row>
    <row r="21" spans="1:8" ht="32.25" thickBot="1" x14ac:dyDescent="0.4">
      <c r="A21" s="63" t="s">
        <v>29</v>
      </c>
      <c r="B21" s="63"/>
      <c r="C21" s="7" t="s">
        <v>30</v>
      </c>
      <c r="D21" s="7" t="s">
        <v>41</v>
      </c>
      <c r="E21" s="48" t="s">
        <v>74</v>
      </c>
      <c r="F21" s="27">
        <v>0</v>
      </c>
      <c r="G21" s="29">
        <v>15918</v>
      </c>
      <c r="H21" s="57">
        <v>962</v>
      </c>
    </row>
    <row r="22" spans="1:8" ht="32.25" thickBot="1" x14ac:dyDescent="0.4">
      <c r="A22" s="63" t="s">
        <v>29</v>
      </c>
      <c r="B22" s="63"/>
      <c r="C22" s="7" t="s">
        <v>30</v>
      </c>
      <c r="D22" s="7" t="s">
        <v>52</v>
      </c>
      <c r="E22" s="48" t="s">
        <v>75</v>
      </c>
      <c r="F22" s="27">
        <v>0</v>
      </c>
      <c r="G22" s="29">
        <v>4855048</v>
      </c>
      <c r="H22" s="57">
        <v>963</v>
      </c>
    </row>
    <row r="23" spans="1:8" ht="32.25" thickBot="1" x14ac:dyDescent="0.4">
      <c r="A23" s="63" t="s">
        <v>29</v>
      </c>
      <c r="B23" s="63"/>
      <c r="C23" s="7" t="s">
        <v>30</v>
      </c>
      <c r="D23" s="7" t="s">
        <v>42</v>
      </c>
      <c r="E23" s="48" t="s">
        <v>76</v>
      </c>
      <c r="F23" s="27">
        <v>0</v>
      </c>
      <c r="G23" s="29">
        <v>18142</v>
      </c>
      <c r="H23" s="57">
        <v>964</v>
      </c>
    </row>
    <row r="24" spans="1:8" ht="32.25" thickBot="1" x14ac:dyDescent="0.4">
      <c r="A24" s="63" t="s">
        <v>29</v>
      </c>
      <c r="B24" s="63"/>
      <c r="C24" s="7" t="s">
        <v>30</v>
      </c>
      <c r="D24" s="31" t="s">
        <v>50</v>
      </c>
      <c r="E24" s="49" t="s">
        <v>77</v>
      </c>
      <c r="F24" s="50">
        <v>0</v>
      </c>
      <c r="G24" s="51">
        <v>1583945</v>
      </c>
      <c r="H24" s="57">
        <v>965</v>
      </c>
    </row>
    <row r="25" spans="1:8" ht="31.5" x14ac:dyDescent="0.35">
      <c r="A25" s="63" t="s">
        <v>29</v>
      </c>
      <c r="B25" s="63"/>
      <c r="C25" s="30" t="s">
        <v>30</v>
      </c>
      <c r="D25" s="35" t="s">
        <v>51</v>
      </c>
      <c r="E25" s="36" t="s">
        <v>78</v>
      </c>
      <c r="F25" s="37">
        <v>0</v>
      </c>
      <c r="G25" s="38">
        <v>2683224</v>
      </c>
      <c r="H25" s="57">
        <v>966</v>
      </c>
    </row>
    <row r="26" spans="1:8" ht="32.25" thickBot="1" x14ac:dyDescent="0.4">
      <c r="A26" s="63" t="s">
        <v>29</v>
      </c>
      <c r="B26" s="63"/>
      <c r="C26" s="30" t="s">
        <v>30</v>
      </c>
      <c r="D26" s="43" t="s">
        <v>51</v>
      </c>
      <c r="E26" s="44" t="s">
        <v>78</v>
      </c>
      <c r="F26" s="45">
        <v>0</v>
      </c>
      <c r="G26" s="46">
        <v>3247984</v>
      </c>
      <c r="H26" s="57">
        <v>967</v>
      </c>
    </row>
    <row r="27" spans="1:8" ht="20.100000000000001" customHeight="1" thickBot="1" x14ac:dyDescent="0.4">
      <c r="A27" s="25"/>
      <c r="B27" s="25"/>
      <c r="C27" s="25"/>
      <c r="D27" s="26"/>
      <c r="E27" s="26"/>
      <c r="F27" s="33" t="s">
        <v>69</v>
      </c>
      <c r="G27" s="34">
        <f>SUM(G25:G26)</f>
        <v>5931208</v>
      </c>
      <c r="H27" s="57"/>
    </row>
    <row r="28" spans="1:8" ht="27" customHeight="1" thickBot="1" x14ac:dyDescent="0.4">
      <c r="A28" s="63" t="s">
        <v>29</v>
      </c>
      <c r="B28" s="63"/>
      <c r="C28" s="7" t="s">
        <v>30</v>
      </c>
      <c r="D28" s="7" t="s">
        <v>43</v>
      </c>
      <c r="E28" s="48" t="s">
        <v>79</v>
      </c>
      <c r="F28" s="27">
        <v>0</v>
      </c>
      <c r="G28" s="29">
        <v>21316</v>
      </c>
      <c r="H28" s="57">
        <v>968</v>
      </c>
    </row>
    <row r="29" spans="1:8" ht="32.25" thickBot="1" x14ac:dyDescent="0.4">
      <c r="A29" s="63" t="s">
        <v>29</v>
      </c>
      <c r="B29" s="63"/>
      <c r="C29" s="7" t="s">
        <v>30</v>
      </c>
      <c r="D29" s="7" t="s">
        <v>46</v>
      </c>
      <c r="E29" s="48" t="s">
        <v>80</v>
      </c>
      <c r="F29" s="27">
        <v>0</v>
      </c>
      <c r="G29" s="29">
        <v>248577</v>
      </c>
      <c r="H29" s="57">
        <v>969</v>
      </c>
    </row>
    <row r="30" spans="1:8" ht="32.25" thickBot="1" x14ac:dyDescent="0.4">
      <c r="A30" s="63" t="s">
        <v>29</v>
      </c>
      <c r="B30" s="63"/>
      <c r="C30" s="7" t="s">
        <v>30</v>
      </c>
      <c r="D30" s="7" t="s">
        <v>44</v>
      </c>
      <c r="E30" s="48" t="s">
        <v>81</v>
      </c>
      <c r="F30" s="27">
        <v>0</v>
      </c>
      <c r="G30" s="29">
        <v>33106</v>
      </c>
      <c r="H30" s="57">
        <v>970</v>
      </c>
    </row>
    <row r="31" spans="1:8" ht="32.25" thickBot="1" x14ac:dyDescent="0.4">
      <c r="A31" s="63" t="s">
        <v>29</v>
      </c>
      <c r="B31" s="63"/>
      <c r="C31" s="7" t="s">
        <v>30</v>
      </c>
      <c r="D31" s="7" t="s">
        <v>45</v>
      </c>
      <c r="E31" s="48" t="s">
        <v>82</v>
      </c>
      <c r="F31" s="27">
        <v>0</v>
      </c>
      <c r="G31" s="29">
        <v>57266</v>
      </c>
      <c r="H31" s="57">
        <v>971</v>
      </c>
    </row>
    <row r="32" spans="1:8" ht="23.25" customHeight="1" thickBot="1" x14ac:dyDescent="0.4">
      <c r="A32" s="63" t="s">
        <v>29</v>
      </c>
      <c r="B32" s="63"/>
      <c r="C32" s="7" t="s">
        <v>30</v>
      </c>
      <c r="D32" s="31" t="s">
        <v>39</v>
      </c>
      <c r="E32" s="49" t="s">
        <v>83</v>
      </c>
      <c r="F32" s="50">
        <v>0</v>
      </c>
      <c r="G32" s="51">
        <v>7159</v>
      </c>
      <c r="H32" s="57">
        <v>972</v>
      </c>
    </row>
    <row r="33" spans="1:8" ht="31.5" x14ac:dyDescent="0.35">
      <c r="A33" s="63" t="s">
        <v>29</v>
      </c>
      <c r="B33" s="63"/>
      <c r="C33" s="30" t="s">
        <v>30</v>
      </c>
      <c r="D33" s="35" t="s">
        <v>40</v>
      </c>
      <c r="E33" s="36" t="s">
        <v>84</v>
      </c>
      <c r="F33" s="37">
        <v>0</v>
      </c>
      <c r="G33" s="38">
        <v>11995</v>
      </c>
      <c r="H33" s="57"/>
    </row>
    <row r="34" spans="1:8" ht="31.5" x14ac:dyDescent="0.35">
      <c r="A34" s="63" t="s">
        <v>29</v>
      </c>
      <c r="B34" s="63"/>
      <c r="C34" s="30" t="s">
        <v>30</v>
      </c>
      <c r="D34" s="39" t="s">
        <v>40</v>
      </c>
      <c r="E34" s="40" t="s">
        <v>84</v>
      </c>
      <c r="F34" s="41">
        <v>0</v>
      </c>
      <c r="G34" s="42">
        <v>12169</v>
      </c>
      <c r="H34" s="57"/>
    </row>
    <row r="35" spans="1:8" ht="32.25" thickBot="1" x14ac:dyDescent="0.4">
      <c r="A35" s="63" t="s">
        <v>29</v>
      </c>
      <c r="B35" s="63"/>
      <c r="C35" s="30" t="s">
        <v>30</v>
      </c>
      <c r="D35" s="43" t="s">
        <v>40</v>
      </c>
      <c r="E35" s="44" t="s">
        <v>84</v>
      </c>
      <c r="F35" s="45">
        <v>0</v>
      </c>
      <c r="G35" s="46">
        <v>27656</v>
      </c>
      <c r="H35" s="57"/>
    </row>
    <row r="36" spans="1:8" ht="20.100000000000001" customHeight="1" thickBot="1" x14ac:dyDescent="0.4">
      <c r="A36" s="25"/>
      <c r="B36" s="25"/>
      <c r="C36" s="25"/>
      <c r="D36" s="26"/>
      <c r="E36" s="26"/>
      <c r="F36" s="33" t="s">
        <v>69</v>
      </c>
      <c r="G36" s="34">
        <f>SUM(G33:G35)</f>
        <v>51820</v>
      </c>
      <c r="H36" s="57">
        <v>973</v>
      </c>
    </row>
    <row r="37" spans="1:8" ht="32.25" thickBot="1" x14ac:dyDescent="0.4">
      <c r="A37" s="63" t="s">
        <v>29</v>
      </c>
      <c r="B37" s="63"/>
      <c r="C37" s="7" t="s">
        <v>30</v>
      </c>
      <c r="D37" s="7" t="s">
        <v>38</v>
      </c>
      <c r="E37" s="48" t="s">
        <v>85</v>
      </c>
      <c r="F37" s="27">
        <v>0</v>
      </c>
      <c r="G37" s="29">
        <v>3579</v>
      </c>
      <c r="H37" s="57">
        <v>974</v>
      </c>
    </row>
    <row r="38" spans="1:8" ht="32.25" thickBot="1" x14ac:dyDescent="0.4">
      <c r="A38" s="63" t="s">
        <v>29</v>
      </c>
      <c r="B38" s="63"/>
      <c r="C38" s="7" t="s">
        <v>70</v>
      </c>
      <c r="D38" s="7" t="s">
        <v>49</v>
      </c>
      <c r="E38" s="48" t="s">
        <v>71</v>
      </c>
      <c r="F38" s="27">
        <v>0</v>
      </c>
      <c r="G38" s="29">
        <v>1209192</v>
      </c>
      <c r="H38" s="57">
        <v>975</v>
      </c>
    </row>
    <row r="39" spans="1:8" ht="31.5" x14ac:dyDescent="0.35">
      <c r="A39" s="63" t="s">
        <v>29</v>
      </c>
      <c r="B39" s="63"/>
      <c r="C39" s="7" t="s">
        <v>30</v>
      </c>
      <c r="D39" s="7" t="s">
        <v>31</v>
      </c>
      <c r="E39" s="7" t="s">
        <v>32</v>
      </c>
      <c r="F39" s="9">
        <v>50321</v>
      </c>
      <c r="G39" s="18">
        <v>0</v>
      </c>
      <c r="H39" s="58"/>
    </row>
    <row r="40" spans="1:8" ht="31.5" x14ac:dyDescent="0.35">
      <c r="A40" s="63" t="s">
        <v>29</v>
      </c>
      <c r="B40" s="63"/>
      <c r="C40" s="7" t="s">
        <v>30</v>
      </c>
      <c r="D40" s="7" t="s">
        <v>37</v>
      </c>
      <c r="E40" s="7" t="s">
        <v>32</v>
      </c>
      <c r="F40" s="9">
        <v>801591799</v>
      </c>
      <c r="G40" s="8">
        <v>0</v>
      </c>
      <c r="H40" s="58"/>
    </row>
    <row r="41" spans="1:8" ht="31.5" x14ac:dyDescent="0.35">
      <c r="A41" s="63" t="s">
        <v>29</v>
      </c>
      <c r="B41" s="63"/>
      <c r="C41" s="7" t="s">
        <v>30</v>
      </c>
      <c r="D41" s="7" t="s">
        <v>36</v>
      </c>
      <c r="E41" s="7" t="s">
        <v>32</v>
      </c>
      <c r="F41" s="9">
        <v>81953566</v>
      </c>
      <c r="G41" s="8">
        <v>0</v>
      </c>
      <c r="H41" s="58"/>
    </row>
    <row r="42" spans="1:8" ht="21" x14ac:dyDescent="0.35">
      <c r="A42" s="63" t="s">
        <v>29</v>
      </c>
      <c r="B42" s="63"/>
      <c r="C42" s="7" t="s">
        <v>30</v>
      </c>
      <c r="D42" s="7" t="s">
        <v>35</v>
      </c>
      <c r="E42" s="7" t="s">
        <v>34</v>
      </c>
      <c r="F42" s="9">
        <v>235000</v>
      </c>
      <c r="G42" s="8">
        <v>0</v>
      </c>
      <c r="H42" s="58"/>
    </row>
    <row r="43" spans="1:8" ht="21.75" thickBot="1" x14ac:dyDescent="0.4">
      <c r="A43" s="63" t="s">
        <v>29</v>
      </c>
      <c r="B43" s="63"/>
      <c r="C43" s="7" t="s">
        <v>30</v>
      </c>
      <c r="D43" s="7" t="s">
        <v>33</v>
      </c>
      <c r="E43" s="7" t="s">
        <v>34</v>
      </c>
      <c r="F43" s="9">
        <v>90000</v>
      </c>
      <c r="G43" s="32">
        <v>0</v>
      </c>
      <c r="H43" s="58"/>
    </row>
    <row r="44" spans="1:8" ht="32.25" thickBot="1" x14ac:dyDescent="0.4">
      <c r="A44" s="63" t="s">
        <v>53</v>
      </c>
      <c r="B44" s="63"/>
      <c r="C44" s="7" t="s">
        <v>30</v>
      </c>
      <c r="D44" s="7" t="s">
        <v>54</v>
      </c>
      <c r="E44" s="48" t="s">
        <v>55</v>
      </c>
      <c r="F44" s="27">
        <v>0</v>
      </c>
      <c r="G44" s="29">
        <v>280096</v>
      </c>
      <c r="H44" s="57">
        <v>976</v>
      </c>
    </row>
    <row r="45" spans="1:8" x14ac:dyDescent="0.25">
      <c r="A45" s="11"/>
      <c r="B45" s="11"/>
      <c r="C45" s="11"/>
      <c r="D45" s="11"/>
      <c r="E45" s="11"/>
      <c r="F45" s="12"/>
      <c r="G45" s="19">
        <f>SUM(G19:G24,G27:G32,G36:G44)</f>
        <v>15908205</v>
      </c>
      <c r="H45" s="13"/>
    </row>
    <row r="46" spans="1:8" x14ac:dyDescent="0.25">
      <c r="A46" s="11"/>
      <c r="B46" s="11"/>
      <c r="C46" s="11"/>
      <c r="D46" s="11"/>
      <c r="E46" s="11"/>
      <c r="F46" s="12"/>
      <c r="G46" s="55">
        <f>SUM(G19:G24,G27:G32,G36:G44)</f>
        <v>15908205</v>
      </c>
      <c r="H46" s="13"/>
    </row>
    <row r="47" spans="1:8" x14ac:dyDescent="0.25">
      <c r="A47" s="65"/>
      <c r="B47" s="65"/>
      <c r="C47" s="65"/>
      <c r="D47" s="65"/>
      <c r="E47" s="65"/>
      <c r="F47" s="65"/>
      <c r="G47" s="65"/>
    </row>
    <row r="48" spans="1:8" x14ac:dyDescent="0.25">
      <c r="A48" s="64"/>
      <c r="B48" s="64"/>
      <c r="C48" s="64"/>
      <c r="D48" s="64"/>
      <c r="E48" s="64"/>
      <c r="F48" s="64"/>
      <c r="G48" s="64"/>
    </row>
    <row r="49" spans="1:7" ht="15" customHeight="1" x14ac:dyDescent="0.25">
      <c r="A49" s="66" t="s">
        <v>56</v>
      </c>
      <c r="B49" s="66"/>
      <c r="C49" s="66"/>
      <c r="D49" s="66"/>
      <c r="E49" s="66"/>
      <c r="F49" s="66"/>
      <c r="G49" s="66"/>
    </row>
    <row r="50" spans="1:7" x14ac:dyDescent="0.25">
      <c r="A50" s="64"/>
      <c r="B50" s="64"/>
      <c r="C50" s="64"/>
      <c r="D50" s="64"/>
      <c r="E50" s="64"/>
      <c r="F50" s="64"/>
      <c r="G50" s="64"/>
    </row>
    <row r="51" spans="1:7" x14ac:dyDescent="0.25">
      <c r="A51" s="7" t="s">
        <v>57</v>
      </c>
      <c r="B51" s="14">
        <v>6102492976</v>
      </c>
      <c r="C51" s="10"/>
    </row>
    <row r="52" spans="1:7" x14ac:dyDescent="0.25">
      <c r="A52" s="7" t="s">
        <v>58</v>
      </c>
      <c r="B52" s="15">
        <v>0</v>
      </c>
      <c r="C52" s="10"/>
    </row>
    <row r="53" spans="1:7" x14ac:dyDescent="0.25">
      <c r="A53" s="7" t="s">
        <v>59</v>
      </c>
      <c r="B53" s="14">
        <v>883920686</v>
      </c>
      <c r="C53" s="10"/>
    </row>
    <row r="54" spans="1:7" x14ac:dyDescent="0.25">
      <c r="A54" s="7" t="s">
        <v>60</v>
      </c>
      <c r="B54" s="15">
        <v>0</v>
      </c>
      <c r="C54" s="16">
        <f>B54+B55</f>
        <v>15908205</v>
      </c>
    </row>
    <row r="55" spans="1:7" x14ac:dyDescent="0.25">
      <c r="A55" s="7" t="s">
        <v>61</v>
      </c>
      <c r="B55" s="14">
        <v>15908205</v>
      </c>
      <c r="C55" s="10"/>
    </row>
    <row r="56" spans="1:7" x14ac:dyDescent="0.25">
      <c r="A56" s="7" t="s">
        <v>62</v>
      </c>
      <c r="B56" s="9">
        <v>5234480495</v>
      </c>
      <c r="C56" s="10"/>
    </row>
    <row r="57" spans="1:7" x14ac:dyDescent="0.25">
      <c r="A57" s="6"/>
    </row>
    <row r="58" spans="1:7" x14ac:dyDescent="0.25">
      <c r="A58" s="6"/>
    </row>
    <row r="59" spans="1:7" x14ac:dyDescent="0.25">
      <c r="A59" s="6"/>
    </row>
  </sheetData>
  <sortState xmlns:xlrd2="http://schemas.microsoft.com/office/spreadsheetml/2017/richdata2" ref="C19:G43">
    <sortCondition ref="D19:D43"/>
  </sortState>
  <mergeCells count="38">
    <mergeCell ref="A24:B24"/>
    <mergeCell ref="A3:E3"/>
    <mergeCell ref="A4:E4"/>
    <mergeCell ref="A1:E1"/>
    <mergeCell ref="A2:F2"/>
    <mergeCell ref="A17:B18"/>
    <mergeCell ref="C17:C18"/>
    <mergeCell ref="D17:D18"/>
    <mergeCell ref="E17:E18"/>
    <mergeCell ref="A15:G15"/>
    <mergeCell ref="A16:G16"/>
    <mergeCell ref="A19:B19"/>
    <mergeCell ref="A20:B20"/>
    <mergeCell ref="A21:B21"/>
    <mergeCell ref="A22:B22"/>
    <mergeCell ref="A23:B23"/>
    <mergeCell ref="A50:G50"/>
    <mergeCell ref="A39:B39"/>
    <mergeCell ref="A40:B40"/>
    <mergeCell ref="A41:B41"/>
    <mergeCell ref="A42:B42"/>
    <mergeCell ref="A43:B43"/>
    <mergeCell ref="A44:B44"/>
    <mergeCell ref="A47:G47"/>
    <mergeCell ref="A48:G48"/>
    <mergeCell ref="A49:G49"/>
    <mergeCell ref="A38:B38"/>
    <mergeCell ref="A25:B25"/>
    <mergeCell ref="A26:B26"/>
    <mergeCell ref="A28:B28"/>
    <mergeCell ref="A29:B29"/>
    <mergeCell ref="A30:B30"/>
    <mergeCell ref="A32:B32"/>
    <mergeCell ref="A33:B33"/>
    <mergeCell ref="A34:B34"/>
    <mergeCell ref="A35:B35"/>
    <mergeCell ref="A37:B37"/>
    <mergeCell ref="A31:B31"/>
  </mergeCells>
  <pageMargins left="0.75" right="0.75" top="1" bottom="1" header="0.5" footer="0.5"/>
  <pageSetup scale="63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H44"/>
  <sheetViews>
    <sheetView tabSelected="1" topLeftCell="A10" workbookViewId="0">
      <selection activeCell="K20" sqref="K20"/>
    </sheetView>
  </sheetViews>
  <sheetFormatPr baseColWidth="10" defaultRowHeight="15" x14ac:dyDescent="0.25"/>
  <cols>
    <col min="1" max="1" width="17.85546875" bestFit="1" customWidth="1"/>
    <col min="2" max="2" width="14.85546875" customWidth="1"/>
    <col min="3" max="3" width="16.140625" bestFit="1" customWidth="1"/>
    <col min="4" max="4" width="12.7109375" bestFit="1" customWidth="1"/>
    <col min="5" max="5" width="43.85546875" customWidth="1"/>
    <col min="6" max="6" width="9.5703125" bestFit="1" customWidth="1"/>
    <col min="7" max="7" width="10.7109375" bestFit="1" customWidth="1"/>
  </cols>
  <sheetData>
    <row r="1" spans="1:7" ht="18" x14ac:dyDescent="0.25">
      <c r="A1" s="67" t="s">
        <v>0</v>
      </c>
      <c r="B1" s="67"/>
      <c r="C1" s="67"/>
      <c r="D1" s="67"/>
      <c r="E1" s="67"/>
    </row>
    <row r="2" spans="1:7" x14ac:dyDescent="0.25">
      <c r="A2" s="64"/>
      <c r="B2" s="64"/>
      <c r="C2" s="64"/>
      <c r="D2" s="64"/>
      <c r="E2" s="64"/>
      <c r="F2" s="64"/>
    </row>
    <row r="3" spans="1:7" ht="15" customHeight="1" x14ac:dyDescent="0.25">
      <c r="A3" s="66" t="s">
        <v>1</v>
      </c>
      <c r="B3" s="66"/>
      <c r="C3" s="66"/>
      <c r="D3" s="66"/>
      <c r="E3" s="66"/>
    </row>
    <row r="4" spans="1:7" x14ac:dyDescent="0.25">
      <c r="A4" s="64"/>
      <c r="B4" s="64"/>
      <c r="C4" s="64"/>
      <c r="D4" s="64"/>
      <c r="E4" s="64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9210920</v>
      </c>
      <c r="C7" s="1"/>
      <c r="D7" s="2" t="s">
        <v>11</v>
      </c>
      <c r="E7" s="4">
        <v>43896</v>
      </c>
    </row>
    <row r="8" spans="1:7" x14ac:dyDescent="0.25">
      <c r="A8" s="2" t="s">
        <v>12</v>
      </c>
      <c r="B8" s="1" t="s">
        <v>63</v>
      </c>
      <c r="C8" s="1"/>
      <c r="D8" s="1"/>
      <c r="E8" s="1"/>
    </row>
    <row r="9" spans="1:7" ht="21" x14ac:dyDescent="0.35">
      <c r="A9" s="1"/>
      <c r="F9" s="24" t="s">
        <v>88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35</v>
      </c>
      <c r="C12" s="1"/>
      <c r="D12" s="2" t="s">
        <v>16</v>
      </c>
      <c r="E12" s="4">
        <v>43892</v>
      </c>
    </row>
    <row r="13" spans="1:7" x14ac:dyDescent="0.25">
      <c r="A13" s="2" t="s">
        <v>17</v>
      </c>
      <c r="B13" s="3">
        <v>8</v>
      </c>
      <c r="C13" s="1"/>
      <c r="D13" s="2" t="s">
        <v>18</v>
      </c>
      <c r="E13" s="4">
        <v>43892</v>
      </c>
    </row>
    <row r="14" spans="1:7" x14ac:dyDescent="0.25">
      <c r="A14" s="2" t="s">
        <v>19</v>
      </c>
      <c r="B14" s="4">
        <v>43892</v>
      </c>
      <c r="C14" s="1"/>
      <c r="D14" s="1"/>
      <c r="E14" s="1"/>
    </row>
    <row r="15" spans="1:7" ht="15" customHeight="1" x14ac:dyDescent="0.25">
      <c r="A15" s="66" t="s">
        <v>20</v>
      </c>
      <c r="B15" s="66"/>
      <c r="C15" s="66"/>
      <c r="D15" s="66"/>
      <c r="E15" s="66"/>
      <c r="F15" s="66"/>
      <c r="G15" s="66"/>
    </row>
    <row r="16" spans="1:7" ht="15.75" thickBot="1" x14ac:dyDescent="0.3">
      <c r="A16" s="64"/>
      <c r="B16" s="64"/>
      <c r="C16" s="64"/>
      <c r="D16" s="64"/>
      <c r="E16" s="64"/>
      <c r="F16" s="64"/>
      <c r="G16" s="64"/>
    </row>
    <row r="17" spans="1:8" x14ac:dyDescent="0.25">
      <c r="A17" s="68" t="s">
        <v>21</v>
      </c>
      <c r="B17" s="69"/>
      <c r="C17" s="69" t="s">
        <v>22</v>
      </c>
      <c r="D17" s="69" t="s">
        <v>23</v>
      </c>
      <c r="E17" s="69" t="s">
        <v>24</v>
      </c>
      <c r="F17" s="20" t="s">
        <v>25</v>
      </c>
      <c r="G17" s="20" t="s">
        <v>27</v>
      </c>
      <c r="H17" s="21" t="s">
        <v>86</v>
      </c>
    </row>
    <row r="18" spans="1:8" ht="15.75" thickBot="1" x14ac:dyDescent="0.3">
      <c r="A18" s="70"/>
      <c r="B18" s="71"/>
      <c r="C18" s="71"/>
      <c r="D18" s="71"/>
      <c r="E18" s="71"/>
      <c r="F18" s="22" t="s">
        <v>26</v>
      </c>
      <c r="G18" s="22" t="s">
        <v>28</v>
      </c>
      <c r="H18" s="23" t="s">
        <v>87</v>
      </c>
    </row>
    <row r="19" spans="1:8" ht="30" customHeight="1" thickBot="1" x14ac:dyDescent="0.3">
      <c r="A19" s="72" t="s">
        <v>29</v>
      </c>
      <c r="B19" s="72"/>
      <c r="C19" s="59" t="s">
        <v>30</v>
      </c>
      <c r="D19" s="59" t="s">
        <v>64</v>
      </c>
      <c r="E19" s="60" t="s">
        <v>89</v>
      </c>
      <c r="F19" s="61">
        <v>0</v>
      </c>
      <c r="G19" s="51">
        <v>10657</v>
      </c>
      <c r="H19" s="62">
        <v>1143</v>
      </c>
    </row>
    <row r="20" spans="1:8" ht="45" x14ac:dyDescent="0.25">
      <c r="A20" s="63" t="s">
        <v>29</v>
      </c>
      <c r="B20" s="73"/>
      <c r="C20" s="35" t="s">
        <v>90</v>
      </c>
      <c r="D20" s="36" t="s">
        <v>65</v>
      </c>
      <c r="E20" s="36" t="s">
        <v>91</v>
      </c>
      <c r="F20" s="37">
        <v>0</v>
      </c>
      <c r="G20" s="38">
        <v>98294</v>
      </c>
      <c r="H20" s="62">
        <v>1144</v>
      </c>
    </row>
    <row r="21" spans="1:8" ht="45" customHeight="1" x14ac:dyDescent="0.25">
      <c r="A21" s="63" t="s">
        <v>29</v>
      </c>
      <c r="B21" s="73"/>
      <c r="C21" s="39" t="s">
        <v>90</v>
      </c>
      <c r="D21" s="40" t="s">
        <v>65</v>
      </c>
      <c r="E21" s="40" t="s">
        <v>91</v>
      </c>
      <c r="F21" s="41">
        <v>0</v>
      </c>
      <c r="G21" s="42">
        <v>123760</v>
      </c>
      <c r="H21" s="62">
        <v>1145</v>
      </c>
    </row>
    <row r="22" spans="1:8" ht="45" customHeight="1" x14ac:dyDescent="0.25">
      <c r="A22" s="63" t="s">
        <v>29</v>
      </c>
      <c r="B22" s="73"/>
      <c r="C22" s="39" t="s">
        <v>90</v>
      </c>
      <c r="D22" s="40" t="s">
        <v>65</v>
      </c>
      <c r="E22" s="40" t="s">
        <v>91</v>
      </c>
      <c r="F22" s="41">
        <v>0</v>
      </c>
      <c r="G22" s="42">
        <v>662068</v>
      </c>
      <c r="H22" s="62">
        <v>1146</v>
      </c>
    </row>
    <row r="23" spans="1:8" ht="45" customHeight="1" x14ac:dyDescent="0.25">
      <c r="A23" s="63" t="s">
        <v>29</v>
      </c>
      <c r="B23" s="73"/>
      <c r="C23" s="39" t="s">
        <v>90</v>
      </c>
      <c r="D23" s="40" t="s">
        <v>65</v>
      </c>
      <c r="E23" s="40" t="s">
        <v>91</v>
      </c>
      <c r="F23" s="41">
        <v>0</v>
      </c>
      <c r="G23" s="42">
        <v>803832</v>
      </c>
      <c r="H23" s="62">
        <v>1147</v>
      </c>
    </row>
    <row r="24" spans="1:8" ht="45" customHeight="1" x14ac:dyDescent="0.25">
      <c r="A24" s="63" t="s">
        <v>29</v>
      </c>
      <c r="B24" s="73"/>
      <c r="C24" s="39" t="s">
        <v>90</v>
      </c>
      <c r="D24" s="40" t="s">
        <v>65</v>
      </c>
      <c r="E24" s="40" t="s">
        <v>91</v>
      </c>
      <c r="F24" s="41">
        <v>0</v>
      </c>
      <c r="G24" s="42">
        <v>1941390</v>
      </c>
      <c r="H24" s="62">
        <v>1148</v>
      </c>
    </row>
    <row r="25" spans="1:8" ht="45" customHeight="1" x14ac:dyDescent="0.25">
      <c r="A25" s="63" t="s">
        <v>29</v>
      </c>
      <c r="B25" s="73"/>
      <c r="C25" s="39" t="s">
        <v>90</v>
      </c>
      <c r="D25" s="40" t="s">
        <v>65</v>
      </c>
      <c r="E25" s="40" t="s">
        <v>91</v>
      </c>
      <c r="F25" s="41">
        <v>0</v>
      </c>
      <c r="G25" s="42">
        <v>5794423</v>
      </c>
      <c r="H25" s="62">
        <v>1149</v>
      </c>
    </row>
    <row r="26" spans="1:8" ht="45" customHeight="1" thickBot="1" x14ac:dyDescent="0.3">
      <c r="A26" s="63" t="s">
        <v>29</v>
      </c>
      <c r="B26" s="73"/>
      <c r="C26" s="43" t="s">
        <v>90</v>
      </c>
      <c r="D26" s="44" t="s">
        <v>65</v>
      </c>
      <c r="E26" s="44" t="s">
        <v>91</v>
      </c>
      <c r="F26" s="45">
        <v>0</v>
      </c>
      <c r="G26" s="46">
        <v>12923654</v>
      </c>
      <c r="H26" s="62">
        <v>1150</v>
      </c>
    </row>
    <row r="27" spans="1:8" ht="18.75" customHeight="1" thickBot="1" x14ac:dyDescent="0.3">
      <c r="A27" s="52"/>
      <c r="B27" s="52"/>
      <c r="C27" s="54"/>
      <c r="D27" s="54"/>
      <c r="E27" s="47"/>
      <c r="F27" s="33" t="s">
        <v>92</v>
      </c>
      <c r="G27" s="34">
        <f>SUM(G20:G26)</f>
        <v>22347421</v>
      </c>
      <c r="H27" s="28"/>
    </row>
    <row r="28" spans="1:8" x14ac:dyDescent="0.25">
      <c r="A28" s="1"/>
      <c r="B28" s="1"/>
      <c r="C28" s="1"/>
      <c r="D28" s="1"/>
      <c r="E28" s="1"/>
      <c r="F28" s="5"/>
      <c r="G28" s="19">
        <f>G19+G27</f>
        <v>22358078</v>
      </c>
    </row>
    <row r="29" spans="1:8" x14ac:dyDescent="0.25">
      <c r="A29" s="53"/>
      <c r="B29" s="53"/>
      <c r="C29" s="53"/>
      <c r="D29" s="53"/>
      <c r="E29" s="53"/>
      <c r="F29" s="5"/>
      <c r="G29" s="55"/>
    </row>
    <row r="30" spans="1:8" x14ac:dyDescent="0.25">
      <c r="A30" s="53"/>
      <c r="B30" s="53"/>
      <c r="C30" s="53"/>
      <c r="D30" s="53"/>
      <c r="E30" s="53"/>
      <c r="F30" s="5"/>
      <c r="G30" s="55"/>
    </row>
    <row r="31" spans="1:8" x14ac:dyDescent="0.25">
      <c r="A31" s="53"/>
      <c r="B31" s="53"/>
      <c r="C31" s="53"/>
      <c r="D31" s="53"/>
      <c r="E31" s="53"/>
      <c r="F31" s="5"/>
      <c r="G31" s="55"/>
    </row>
    <row r="32" spans="1:8" x14ac:dyDescent="0.25">
      <c r="A32" s="65"/>
      <c r="B32" s="65"/>
      <c r="C32" s="65"/>
      <c r="D32" s="65"/>
      <c r="E32" s="65"/>
      <c r="F32" s="65"/>
      <c r="G32" s="65"/>
    </row>
    <row r="33" spans="1:7" x14ac:dyDescent="0.25">
      <c r="A33" s="64"/>
      <c r="B33" s="64"/>
      <c r="C33" s="64"/>
      <c r="D33" s="64"/>
      <c r="E33" s="64"/>
      <c r="F33" s="64"/>
      <c r="G33" s="64"/>
    </row>
    <row r="34" spans="1:7" ht="15" customHeight="1" x14ac:dyDescent="0.25">
      <c r="A34" s="66" t="s">
        <v>56</v>
      </c>
      <c r="B34" s="66"/>
      <c r="C34" s="66"/>
      <c r="D34" s="66"/>
      <c r="E34" s="66"/>
      <c r="F34" s="66"/>
      <c r="G34" s="66"/>
    </row>
    <row r="35" spans="1:7" x14ac:dyDescent="0.25">
      <c r="A35" s="64"/>
      <c r="B35" s="64"/>
      <c r="C35" s="64"/>
      <c r="D35" s="64"/>
      <c r="E35" s="64"/>
      <c r="F35" s="64"/>
      <c r="G35" s="64"/>
    </row>
    <row r="36" spans="1:7" x14ac:dyDescent="0.25">
      <c r="A36" s="52" t="s">
        <v>57</v>
      </c>
      <c r="B36" s="14">
        <v>2482425929</v>
      </c>
      <c r="C36" s="10"/>
    </row>
    <row r="37" spans="1:7" x14ac:dyDescent="0.25">
      <c r="A37" s="52" t="s">
        <v>58</v>
      </c>
      <c r="B37" s="15">
        <v>0</v>
      </c>
      <c r="C37" s="10"/>
    </row>
    <row r="38" spans="1:7" x14ac:dyDescent="0.25">
      <c r="A38" s="52" t="s">
        <v>59</v>
      </c>
      <c r="B38" s="15">
        <v>0</v>
      </c>
      <c r="C38" s="10"/>
    </row>
    <row r="39" spans="1:7" x14ac:dyDescent="0.25">
      <c r="A39" s="52" t="s">
        <v>60</v>
      </c>
      <c r="B39" s="15">
        <v>0</v>
      </c>
      <c r="C39" s="16">
        <f>B39+B40</f>
        <v>22358078</v>
      </c>
    </row>
    <row r="40" spans="1:7" x14ac:dyDescent="0.25">
      <c r="A40" s="52" t="s">
        <v>61</v>
      </c>
      <c r="B40" s="14">
        <v>22358078</v>
      </c>
      <c r="C40" s="10"/>
    </row>
    <row r="41" spans="1:7" x14ac:dyDescent="0.25">
      <c r="A41" s="52" t="s">
        <v>62</v>
      </c>
      <c r="B41" s="9">
        <v>2504784007</v>
      </c>
      <c r="C41" s="10"/>
    </row>
    <row r="42" spans="1:7" x14ac:dyDescent="0.25">
      <c r="A42" s="6"/>
    </row>
    <row r="43" spans="1:7" x14ac:dyDescent="0.25">
      <c r="A43" s="6"/>
    </row>
    <row r="44" spans="1:7" x14ac:dyDescent="0.25">
      <c r="A44" s="6"/>
    </row>
  </sheetData>
  <mergeCells count="22">
    <mergeCell ref="A20:B20"/>
    <mergeCell ref="A1:E1"/>
    <mergeCell ref="A2:F2"/>
    <mergeCell ref="A3:E3"/>
    <mergeCell ref="A4:E4"/>
    <mergeCell ref="A15:G15"/>
    <mergeCell ref="A16:G16"/>
    <mergeCell ref="A17:B18"/>
    <mergeCell ref="C17:C18"/>
    <mergeCell ref="D17:D18"/>
    <mergeCell ref="E17:E18"/>
    <mergeCell ref="A19:B19"/>
    <mergeCell ref="A32:G32"/>
    <mergeCell ref="A33:G33"/>
    <mergeCell ref="A34:G34"/>
    <mergeCell ref="A35:G35"/>
    <mergeCell ref="A21:B2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65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9210059</vt:lpstr>
      <vt:lpstr>9210920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2020-03-23T16:28:31Z</cp:lastPrinted>
  <dcterms:created xsi:type="dcterms:W3CDTF">2020-03-06T12:45:31Z</dcterms:created>
  <dcterms:modified xsi:type="dcterms:W3CDTF">2020-03-24T17:16:37Z</dcterms:modified>
</cp:coreProperties>
</file>