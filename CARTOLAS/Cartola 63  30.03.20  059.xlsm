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90F77E8F-93CA-40EF-BE8B-8502A3F9006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2" i="2" l="1"/>
  <c r="G35" i="2"/>
  <c r="C50" i="2" l="1"/>
  <c r="C36" i="3"/>
</calcChain>
</file>

<file path=xl/sharedStrings.xml><?xml version="1.0" encoding="utf-8"?>
<sst xmlns="http://schemas.openxmlformats.org/spreadsheetml/2006/main" count="171" uniqueCount="89">
  <si>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</si>
  <si>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</si>
  <si>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</si>
  <si>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</si>
  <si>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</si>
  <si>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</si>
  <si>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</si>
  <si>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</si>
  <si>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</si>
  <si>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</si>
  <si>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</si>
  <si>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</si>
  <si>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</si>
  <si>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</si>
  <si>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</si>
  <si>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</si>
  <si>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</si>
  <si>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</si>
  <si>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</si>
  <si>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</si>
  <si>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</si>
  <si>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</si>
  <si>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</si>
  <si>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</si>
  <si>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</si>
  <si>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</si>
  <si>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</si>
  <si>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</si>
  <si>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</si>
  <si>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30-03-2020  </t>
  </si>
  <si>
    <t>STGO.PRINCIPAL </t>
  </si>
  <si>
    <t>1350016 </t>
  </si>
  <si>
    <t>0208463 </t>
  </si>
  <si>
    <t>0215722 </t>
  </si>
  <si>
    <t>0001077 </t>
  </si>
  <si>
    <t>TRANSFERENCIA OTRO BANCO DE CORPORACION MUNICIPAL DE MELIPILLA PARA LA EDUCACI</t>
  </si>
  <si>
    <t>0204161 </t>
  </si>
  <si>
    <t>0205085 </t>
  </si>
  <si>
    <t>7033337 </t>
  </si>
  <si>
    <t>TRANSFERENCIA BANCOESTADO DE I</t>
  </si>
  <si>
    <t>0216672 </t>
  </si>
  <si>
    <t>0205474 </t>
  </si>
  <si>
    <t>SERVI OSORNO </t>
  </si>
  <si>
    <t>3001910 </t>
  </si>
  <si>
    <t>0204266 </t>
  </si>
  <si>
    <t>0209767 </t>
  </si>
  <si>
    <t>0205743 </t>
  </si>
  <si>
    <t>0206864 </t>
  </si>
  <si>
    <t>0001711 </t>
  </si>
  <si>
    <t>0210712 </t>
  </si>
  <si>
    <t>0203599 </t>
  </si>
  <si>
    <t>31-03-2020  </t>
  </si>
  <si>
    <t>7025628 </t>
  </si>
  <si>
    <t>TRANSFERENCIA OTRO BANCO DE I MUNICIPALIDAD DE VILLARRICA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</si>
  <si>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</si>
  <si>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</si>
  <si>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</si>
  <si>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</si>
  <si>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</si>
  <si>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</si>
  <si>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</si>
  <si>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</si>
  <si>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0204144 </t>
  </si>
  <si>
    <t>Numero</t>
  </si>
  <si>
    <t>Ingreso</t>
  </si>
  <si>
    <t>12 Comprobante</t>
  </si>
  <si>
    <t>Numeros</t>
  </si>
  <si>
    <t>Ingresos</t>
  </si>
  <si>
    <t>12   Comprobantes</t>
  </si>
  <si>
    <t>61.607.600-6 STGO.PRINCIPAL </t>
  </si>
  <si>
    <t>TRANSFERENCIA SISTEMA PAGO ALTO VALOR SERVICIO DE SALUD DE OSORNO</t>
  </si>
  <si>
    <t>ABONO PAGO A PROVEEDORES SUBSECRECRETARIA DE SALUD PUBLICA</t>
  </si>
  <si>
    <t>ABONO PAGO A PROVEEDORES HOSPITAL DE LIMACHE</t>
  </si>
  <si>
    <t>ABONO PAGO A PROVEEDORES HOSPITAL DE QUILLOTA</t>
  </si>
  <si>
    <t>ABONO PAGO A PROVEEDORES HOSPITAL DE PARRAL</t>
  </si>
  <si>
    <t>ABONO PAGO A PROVEEDORES S.DE S. CONCEPCION HOSPITAL DE FLORIDA</t>
  </si>
  <si>
    <t>ABONO PAGO A PROVEEDORES MUNICIPALIDAD DE RIO HURTADO</t>
  </si>
  <si>
    <t>ABONO PAGO A PROVEEDORES HOSPITAL DE CHAÑARAL</t>
  </si>
  <si>
    <t>ABONO PAGO A PROVEEDORES MUNICIPALIDAD DE OLMUE</t>
  </si>
  <si>
    <t>ABONO PAGO A PROVEEDORES HOSPITAL DE LICANTEN</t>
  </si>
  <si>
    <t>ABONO PAGO A PROVEEDORES CESFAM LIRQUEN</t>
  </si>
  <si>
    <t>ABONO PAGO A PROVEEDORES SERVICIO DE SALUD DE CHILOE  HOSPITAL DE CASTRO</t>
  </si>
  <si>
    <t>TOTAL</t>
  </si>
  <si>
    <t>ABONO PAGO A PROVEEDORES HOSPITAL DE FUTALEUFU</t>
  </si>
  <si>
    <t>70.932.800-K STGO.PRINCIPAL </t>
  </si>
  <si>
    <t>PAGOS VARIOS DESDE BCO BCI CORPORACION MUNICIPAL DE ÑUÑOA</t>
  </si>
  <si>
    <t>DEPOSITO CON DOCUMENTOS MUNICIPALIDAD DE OSORNO</t>
  </si>
  <si>
    <t>TRANSFERENCIA BANCOESTADO DE SERV DE SALUD METROPOLITANO SUR ORIENTE HOSPITAL SAN JOSE DE MAIPO</t>
  </si>
  <si>
    <t>ABONO PAGO A PROVEEDORES SERVICIO DE SALUD DE COQUIMBO HOSPITAL DE OVALLE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</si>
</sst>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0" fontId="16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3" fontId="22" fillId="0" borderId="12" xfId="0" applyNumberFormat="1" applyFont="1" applyBorder="1" applyAlignment="1">
      <alignment vertical="center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23" fillId="0" borderId="0" xfId="0" applyFont="1"/>
    <xf numFmtId="0" fontId="0" fillId="0" borderId="0" xfId="0" applyBorder="1" applyAlignment="1">
      <alignment wrapText="1"/>
    </xf>
    <xf numFmtId="0" fontId="21" fillId="0" borderId="0" xfId="0" applyFont="1" applyBorder="1" applyAlignment="1">
      <alignment horizontal="right" wrapText="1"/>
    </xf>
    <xf numFmtId="0" fontId="0" fillId="0" borderId="0" xfId="0" applyBorder="1"/>
    <xf numFmtId="0" fontId="0" fillId="0" borderId="12" xfId="0" applyBorder="1" applyAlignment="1">
      <alignment wrapText="1"/>
    </xf>
    <xf numFmtId="3" fontId="21" fillId="0" borderId="12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2" fillId="0" borderId="11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21" fillId="0" borderId="21" xfId="0" applyFont="1" applyBorder="1" applyAlignment="1">
      <alignment horizontal="right" wrapText="1"/>
    </xf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4" xfId="0" applyFont="1" applyBorder="1" applyAlignment="1">
      <alignment horizontal="right" wrapText="1"/>
    </xf>
    <xf numFmtId="3" fontId="22" fillId="0" borderId="25" xfId="0" applyNumberFormat="1" applyFont="1" applyBorder="1" applyAlignment="1">
      <alignment horizontal="right" wrapText="1"/>
    </xf>
    <xf numFmtId="3" fontId="22" fillId="0" borderId="26" xfId="0" applyNumberFormat="1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2" fillId="0" borderId="14" xfId="0" applyFont="1" applyBorder="1" applyAlignment="1">
      <alignment horizontal="right" wrapText="1"/>
    </xf>
    <xf numFmtId="3" fontId="22" fillId="0" borderId="15" xfId="0" applyNumberFormat="1" applyFont="1" applyBorder="1" applyAlignment="1">
      <alignment horizontal="right" wrapText="1"/>
    </xf>
    <xf numFmtId="0" fontId="16" fillId="0" borderId="27" xfId="0" applyFont="1" applyBorder="1" applyAlignment="1">
      <alignment wrapText="1"/>
    </xf>
    <xf numFmtId="0" fontId="22" fillId="0" borderId="0" xfId="0" applyFont="1" applyBorder="1" applyAlignment="1">
      <alignment horizontal="right" wrapText="1"/>
    </xf>
    <xf numFmtId="3" fontId="22" fillId="0" borderId="28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22" fillId="0" borderId="17" xfId="0" applyFont="1" applyBorder="1" applyAlignment="1">
      <alignment horizontal="right" wrapText="1"/>
    </xf>
    <xf numFmtId="3" fontId="22" fillId="0" borderId="18" xfId="0" applyNumberFormat="1" applyFont="1" applyBorder="1" applyAlignment="1">
      <alignment horizontal="right" wrapText="1"/>
    </xf>
    <xf numFmtId="0" fontId="23" fillId="0" borderId="1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2" xfId="0" applyBorder="1" applyAlignment="1">
      <alignment wrapText="1"/>
    </xf>
    <xf numFmtId="0" fontId="20" fillId="0" borderId="0" xfId="0" applyFont="1" applyAlignment="1">
      <alignment horizontal="center"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12" xfId="0" applyFont="1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5"/>
  <sheetViews>
    <sheetView showGridLines="0" tabSelected="1" workbookViewId="0">
      <selection activeCell="I35" sqref="I35"/>
    </sheetView>
  </sheetViews>
  <sheetFormatPr baseColWidth="10" defaultRowHeight="15" x14ac:dyDescent="0.25"/>
  <cols>
    <col min="1" max="1" width="17.85546875" bestFit="1" customWidth="1"/>
    <col min="2" max="2" width="14.85546875" customWidth="1"/>
    <col min="3" max="3" width="16.140625" bestFit="1" customWidth="1"/>
    <col min="4" max="4" width="12.7109375" bestFit="1" customWidth="1"/>
    <col min="5" max="5" width="47.28515625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57" t="s">
        <v>0</v>
      </c>
      <c r="B1" s="57"/>
      <c r="C1" s="57"/>
      <c r="D1" s="57"/>
      <c r="E1" s="57"/>
    </row>
    <row r="2" spans="1:7" x14ac:dyDescent="0.25">
      <c r="A2" s="52"/>
      <c r="B2" s="52"/>
      <c r="C2" s="52"/>
      <c r="D2" s="52"/>
      <c r="E2" s="52"/>
      <c r="F2" s="52"/>
    </row>
    <row r="3" spans="1:7" ht="15" customHeight="1" x14ac:dyDescent="0.25">
      <c r="A3" s="53" t="s">
        <v>1</v>
      </c>
      <c r="B3" s="53"/>
      <c r="C3" s="53"/>
      <c r="D3" s="53"/>
      <c r="E3" s="53"/>
    </row>
    <row r="4" spans="1:7" x14ac:dyDescent="0.25">
      <c r="A4" s="52"/>
      <c r="B4" s="52"/>
      <c r="C4" s="52"/>
      <c r="D4" s="52"/>
      <c r="E4" s="52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43921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68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63</v>
      </c>
      <c r="C12" s="1"/>
      <c r="D12" s="2" t="s">
        <v>16</v>
      </c>
      <c r="E12" s="4">
        <v>43920</v>
      </c>
    </row>
    <row r="13" spans="1:7" x14ac:dyDescent="0.25">
      <c r="A13" s="2" t="s">
        <v>17</v>
      </c>
      <c r="B13" s="3">
        <v>22</v>
      </c>
      <c r="C13" s="1"/>
      <c r="D13" s="2" t="s">
        <v>18</v>
      </c>
      <c r="E13" s="4">
        <v>43921</v>
      </c>
    </row>
    <row r="14" spans="1:7" x14ac:dyDescent="0.25">
      <c r="A14" s="2" t="s">
        <v>19</v>
      </c>
      <c r="B14" s="4">
        <v>43920</v>
      </c>
      <c r="C14" s="1"/>
      <c r="D14" s="1"/>
      <c r="E14" s="1"/>
    </row>
    <row r="15" spans="1:7" ht="15" customHeight="1" x14ac:dyDescent="0.25">
      <c r="A15" s="53" t="s">
        <v>20</v>
      </c>
      <c r="B15" s="53"/>
      <c r="C15" s="53"/>
      <c r="D15" s="53"/>
      <c r="E15" s="53"/>
      <c r="F15" s="53"/>
      <c r="G15" s="53"/>
    </row>
    <row r="16" spans="1:7" ht="15.75" thickBot="1" x14ac:dyDescent="0.3">
      <c r="A16" s="52"/>
      <c r="B16" s="52"/>
      <c r="C16" s="52"/>
      <c r="D16" s="52"/>
      <c r="E16" s="52"/>
      <c r="F16" s="52"/>
      <c r="G16" s="52"/>
    </row>
    <row r="17" spans="1:8" x14ac:dyDescent="0.25">
      <c r="A17" s="58" t="s">
        <v>21</v>
      </c>
      <c r="B17" s="59"/>
      <c r="C17" s="59" t="s">
        <v>22</v>
      </c>
      <c r="D17" s="59" t="s">
        <v>23</v>
      </c>
      <c r="E17" s="59" t="s">
        <v>24</v>
      </c>
      <c r="F17" s="13" t="s">
        <v>25</v>
      </c>
      <c r="G17" s="13" t="s">
        <v>27</v>
      </c>
      <c r="H17" s="14" t="s">
        <v>66</v>
      </c>
    </row>
    <row r="18" spans="1:8" ht="15.75" thickBot="1" x14ac:dyDescent="0.3">
      <c r="A18" s="60"/>
      <c r="B18" s="61"/>
      <c r="C18" s="61"/>
      <c r="D18" s="61"/>
      <c r="E18" s="61"/>
      <c r="F18" s="15" t="s">
        <v>26</v>
      </c>
      <c r="G18" s="15" t="s">
        <v>28</v>
      </c>
      <c r="H18" s="16" t="s">
        <v>67</v>
      </c>
    </row>
    <row r="19" spans="1:8" ht="30" customHeight="1" thickBot="1" x14ac:dyDescent="0.4">
      <c r="A19" s="56" t="s">
        <v>29</v>
      </c>
      <c r="B19" s="56"/>
      <c r="C19" s="24" t="s">
        <v>30</v>
      </c>
      <c r="D19" s="24" t="s">
        <v>34</v>
      </c>
      <c r="E19" s="26" t="s">
        <v>35</v>
      </c>
      <c r="F19" s="27">
        <v>0</v>
      </c>
      <c r="G19" s="28">
        <v>15749</v>
      </c>
      <c r="H19" s="50">
        <v>1309</v>
      </c>
    </row>
    <row r="20" spans="1:8" ht="30" customHeight="1" thickBot="1" x14ac:dyDescent="0.4">
      <c r="A20" s="54" t="s">
        <v>29</v>
      </c>
      <c r="B20" s="54"/>
      <c r="C20" s="7" t="s">
        <v>69</v>
      </c>
      <c r="D20" s="7" t="s">
        <v>48</v>
      </c>
      <c r="E20" s="29" t="s">
        <v>70</v>
      </c>
      <c r="F20" s="30">
        <v>0</v>
      </c>
      <c r="G20" s="28">
        <v>391792</v>
      </c>
      <c r="H20" s="51">
        <v>1310</v>
      </c>
    </row>
    <row r="21" spans="1:8" ht="30" customHeight="1" thickBot="1" x14ac:dyDescent="0.4">
      <c r="A21" s="54" t="s">
        <v>29</v>
      </c>
      <c r="B21" s="54"/>
      <c r="C21" s="7" t="s">
        <v>30</v>
      </c>
      <c r="D21" s="7" t="s">
        <v>50</v>
      </c>
      <c r="E21" s="29" t="s">
        <v>71</v>
      </c>
      <c r="F21" s="30">
        <v>0</v>
      </c>
      <c r="G21" s="28">
        <v>2181489</v>
      </c>
      <c r="H21" s="50">
        <v>1311</v>
      </c>
    </row>
    <row r="22" spans="1:8" ht="30" customHeight="1" thickBot="1" x14ac:dyDescent="0.4">
      <c r="A22" s="54" t="s">
        <v>29</v>
      </c>
      <c r="B22" s="54"/>
      <c r="C22" s="7" t="s">
        <v>30</v>
      </c>
      <c r="D22" s="7" t="s">
        <v>36</v>
      </c>
      <c r="E22" s="29" t="s">
        <v>72</v>
      </c>
      <c r="F22" s="30">
        <v>0</v>
      </c>
      <c r="G22" s="28">
        <v>26739</v>
      </c>
      <c r="H22" s="51">
        <v>1312</v>
      </c>
    </row>
    <row r="23" spans="1:8" ht="30" customHeight="1" thickBot="1" x14ac:dyDescent="0.4">
      <c r="A23" s="54" t="s">
        <v>29</v>
      </c>
      <c r="B23" s="54"/>
      <c r="C23" s="7" t="s">
        <v>30</v>
      </c>
      <c r="D23" s="7" t="s">
        <v>44</v>
      </c>
      <c r="E23" s="29" t="s">
        <v>73</v>
      </c>
      <c r="F23" s="30">
        <v>0</v>
      </c>
      <c r="G23" s="28">
        <v>106957</v>
      </c>
      <c r="H23" s="50">
        <v>1313</v>
      </c>
    </row>
    <row r="24" spans="1:8" ht="30" customHeight="1" thickBot="1" x14ac:dyDescent="0.4">
      <c r="A24" s="54" t="s">
        <v>29</v>
      </c>
      <c r="B24" s="54"/>
      <c r="C24" s="7" t="s">
        <v>30</v>
      </c>
      <c r="D24" s="7" t="s">
        <v>37</v>
      </c>
      <c r="E24" s="29" t="s">
        <v>74</v>
      </c>
      <c r="F24" s="30">
        <v>0</v>
      </c>
      <c r="G24" s="28">
        <v>26739</v>
      </c>
      <c r="H24" s="51">
        <v>1314</v>
      </c>
    </row>
    <row r="25" spans="1:8" ht="30" customHeight="1" thickBot="1" x14ac:dyDescent="0.4">
      <c r="A25" s="54" t="s">
        <v>29</v>
      </c>
      <c r="B25" s="54"/>
      <c r="C25" s="7" t="s">
        <v>30</v>
      </c>
      <c r="D25" s="7" t="s">
        <v>41</v>
      </c>
      <c r="E25" s="29" t="s">
        <v>75</v>
      </c>
      <c r="F25" s="30">
        <v>0</v>
      </c>
      <c r="G25" s="28">
        <v>44346</v>
      </c>
      <c r="H25" s="50">
        <v>1315</v>
      </c>
    </row>
    <row r="26" spans="1:8" ht="30" customHeight="1" thickBot="1" x14ac:dyDescent="0.4">
      <c r="A26" s="54" t="s">
        <v>29</v>
      </c>
      <c r="B26" s="54"/>
      <c r="C26" s="7" t="s">
        <v>30</v>
      </c>
      <c r="D26" s="7" t="s">
        <v>46</v>
      </c>
      <c r="E26" s="29" t="s">
        <v>76</v>
      </c>
      <c r="F26" s="30">
        <v>0</v>
      </c>
      <c r="G26" s="28">
        <v>174606</v>
      </c>
      <c r="H26" s="51">
        <v>1316</v>
      </c>
    </row>
    <row r="27" spans="1:8" ht="30" customHeight="1" thickBot="1" x14ac:dyDescent="0.4">
      <c r="A27" s="54" t="s">
        <v>29</v>
      </c>
      <c r="B27" s="54"/>
      <c r="C27" s="7" t="s">
        <v>30</v>
      </c>
      <c r="D27" s="7" t="s">
        <v>47</v>
      </c>
      <c r="E27" s="29" t="s">
        <v>77</v>
      </c>
      <c r="F27" s="30">
        <v>0</v>
      </c>
      <c r="G27" s="28">
        <v>226543</v>
      </c>
      <c r="H27" s="50">
        <v>1317</v>
      </c>
    </row>
    <row r="28" spans="1:8" ht="30" customHeight="1" thickBot="1" x14ac:dyDescent="0.4">
      <c r="A28" s="54" t="s">
        <v>29</v>
      </c>
      <c r="B28" s="54"/>
      <c r="C28" s="7" t="s">
        <v>30</v>
      </c>
      <c r="D28" s="7" t="s">
        <v>32</v>
      </c>
      <c r="E28" s="29" t="s">
        <v>78</v>
      </c>
      <c r="F28" s="30">
        <v>0</v>
      </c>
      <c r="G28" s="28">
        <v>10657</v>
      </c>
      <c r="H28" s="51">
        <v>1318</v>
      </c>
    </row>
    <row r="29" spans="1:8" ht="30" customHeight="1" thickBot="1" x14ac:dyDescent="0.4">
      <c r="A29" s="54" t="s">
        <v>29</v>
      </c>
      <c r="B29" s="54"/>
      <c r="C29" s="7" t="s">
        <v>30</v>
      </c>
      <c r="D29" s="7" t="s">
        <v>45</v>
      </c>
      <c r="E29" s="29" t="s">
        <v>79</v>
      </c>
      <c r="F29" s="30">
        <v>0</v>
      </c>
      <c r="G29" s="28">
        <v>112498</v>
      </c>
      <c r="H29" s="50">
        <v>1319</v>
      </c>
    </row>
    <row r="30" spans="1:8" ht="30" customHeight="1" thickBot="1" x14ac:dyDescent="0.4">
      <c r="A30" s="54" t="s">
        <v>29</v>
      </c>
      <c r="B30" s="54"/>
      <c r="C30" s="7" t="s">
        <v>30</v>
      </c>
      <c r="D30" s="32" t="s">
        <v>49</v>
      </c>
      <c r="E30" s="33" t="s">
        <v>80</v>
      </c>
      <c r="F30" s="34">
        <v>0</v>
      </c>
      <c r="G30" s="35">
        <v>550544</v>
      </c>
      <c r="H30" s="51">
        <v>1320</v>
      </c>
    </row>
    <row r="31" spans="1:8" ht="30" customHeight="1" x14ac:dyDescent="0.35">
      <c r="A31" s="54" t="s">
        <v>29</v>
      </c>
      <c r="B31" s="54"/>
      <c r="C31" s="31" t="s">
        <v>30</v>
      </c>
      <c r="D31" s="40" t="s">
        <v>33</v>
      </c>
      <c r="E31" s="38" t="s">
        <v>81</v>
      </c>
      <c r="F31" s="41">
        <v>0</v>
      </c>
      <c r="G31" s="42">
        <v>3442269</v>
      </c>
      <c r="H31" s="51"/>
    </row>
    <row r="32" spans="1:8" ht="30" customHeight="1" x14ac:dyDescent="0.35">
      <c r="A32" s="54" t="s">
        <v>29</v>
      </c>
      <c r="B32" s="54"/>
      <c r="C32" s="31" t="s">
        <v>30</v>
      </c>
      <c r="D32" s="43" t="s">
        <v>33</v>
      </c>
      <c r="E32" s="37" t="s">
        <v>81</v>
      </c>
      <c r="F32" s="44">
        <v>0</v>
      </c>
      <c r="G32" s="45">
        <v>4822834</v>
      </c>
      <c r="H32" s="51"/>
    </row>
    <row r="33" spans="1:8" ht="30" customHeight="1" x14ac:dyDescent="0.35">
      <c r="A33" s="54" t="s">
        <v>29</v>
      </c>
      <c r="B33" s="54"/>
      <c r="C33" s="31" t="s">
        <v>30</v>
      </c>
      <c r="D33" s="43" t="s">
        <v>33</v>
      </c>
      <c r="E33" s="37" t="s">
        <v>81</v>
      </c>
      <c r="F33" s="44">
        <v>0</v>
      </c>
      <c r="G33" s="45">
        <v>583476</v>
      </c>
      <c r="H33" s="51"/>
    </row>
    <row r="34" spans="1:8" ht="32.25" thickBot="1" x14ac:dyDescent="0.4">
      <c r="A34" s="54" t="s">
        <v>29</v>
      </c>
      <c r="B34" s="54"/>
      <c r="C34" s="31" t="s">
        <v>30</v>
      </c>
      <c r="D34" s="46" t="s">
        <v>33</v>
      </c>
      <c r="E34" s="39" t="s">
        <v>81</v>
      </c>
      <c r="F34" s="47">
        <v>0</v>
      </c>
      <c r="G34" s="48">
        <v>2174068</v>
      </c>
      <c r="H34" s="51"/>
    </row>
    <row r="35" spans="1:8" ht="21.75" thickBot="1" x14ac:dyDescent="0.4">
      <c r="A35" s="7"/>
      <c r="B35" s="7"/>
      <c r="C35" s="7"/>
      <c r="D35" s="24"/>
      <c r="E35" s="26"/>
      <c r="F35" s="27" t="s">
        <v>82</v>
      </c>
      <c r="G35" s="36">
        <f>SUM(G31:G34)</f>
        <v>11022647</v>
      </c>
      <c r="H35" s="51">
        <v>1321</v>
      </c>
    </row>
    <row r="36" spans="1:8" ht="30" customHeight="1" thickBot="1" x14ac:dyDescent="0.4">
      <c r="A36" s="54" t="s">
        <v>29</v>
      </c>
      <c r="B36" s="54"/>
      <c r="C36" s="7" t="s">
        <v>30</v>
      </c>
      <c r="D36" s="7" t="s">
        <v>40</v>
      </c>
      <c r="E36" s="29" t="s">
        <v>83</v>
      </c>
      <c r="F36" s="30">
        <v>0</v>
      </c>
      <c r="G36" s="28">
        <v>37358</v>
      </c>
      <c r="H36" s="51">
        <v>1322</v>
      </c>
    </row>
    <row r="37" spans="1:8" ht="30" customHeight="1" thickBot="1" x14ac:dyDescent="0.4">
      <c r="A37" s="54" t="s">
        <v>29</v>
      </c>
      <c r="B37" s="54"/>
      <c r="C37" s="7" t="s">
        <v>84</v>
      </c>
      <c r="D37" s="7" t="s">
        <v>31</v>
      </c>
      <c r="E37" s="29" t="s">
        <v>85</v>
      </c>
      <c r="F37" s="30">
        <v>0</v>
      </c>
      <c r="G37" s="28">
        <v>3579</v>
      </c>
      <c r="H37" s="51">
        <v>1323</v>
      </c>
    </row>
    <row r="38" spans="1:8" ht="30" customHeight="1" thickBot="1" x14ac:dyDescent="0.4">
      <c r="A38" s="54" t="s">
        <v>29</v>
      </c>
      <c r="B38" s="54"/>
      <c r="C38" s="7" t="s">
        <v>42</v>
      </c>
      <c r="D38" s="7" t="s">
        <v>43</v>
      </c>
      <c r="E38" s="29" t="s">
        <v>86</v>
      </c>
      <c r="F38" s="30">
        <v>0</v>
      </c>
      <c r="G38" s="28">
        <v>46635</v>
      </c>
      <c r="H38" s="51">
        <v>1324</v>
      </c>
    </row>
    <row r="39" spans="1:8" ht="30" customHeight="1" thickBot="1" x14ac:dyDescent="0.4">
      <c r="A39" s="54" t="s">
        <v>29</v>
      </c>
      <c r="B39" s="54"/>
      <c r="C39" s="7" t="s">
        <v>30</v>
      </c>
      <c r="D39" s="7" t="s">
        <v>38</v>
      </c>
      <c r="E39" s="29" t="s">
        <v>39</v>
      </c>
      <c r="F39" s="30">
        <v>0</v>
      </c>
      <c r="G39" s="28">
        <v>28553</v>
      </c>
      <c r="H39" s="51"/>
    </row>
    <row r="40" spans="1:8" ht="30" customHeight="1" thickBot="1" x14ac:dyDescent="0.4">
      <c r="A40" s="54" t="s">
        <v>51</v>
      </c>
      <c r="B40" s="54"/>
      <c r="C40" s="7" t="s">
        <v>30</v>
      </c>
      <c r="D40" s="7" t="s">
        <v>52</v>
      </c>
      <c r="E40" s="29" t="s">
        <v>87</v>
      </c>
      <c r="F40" s="30">
        <v>0</v>
      </c>
      <c r="G40" s="28">
        <v>21316</v>
      </c>
      <c r="H40" s="51">
        <v>1325</v>
      </c>
    </row>
    <row r="41" spans="1:8" ht="30" customHeight="1" thickBot="1" x14ac:dyDescent="0.4">
      <c r="A41" s="54" t="s">
        <v>51</v>
      </c>
      <c r="B41" s="54"/>
      <c r="C41" s="7" t="s">
        <v>30</v>
      </c>
      <c r="D41" s="7" t="s">
        <v>34</v>
      </c>
      <c r="E41" s="29" t="s">
        <v>53</v>
      </c>
      <c r="F41" s="30">
        <v>0</v>
      </c>
      <c r="G41" s="28">
        <v>322774</v>
      </c>
      <c r="H41" s="51">
        <v>1326</v>
      </c>
    </row>
    <row r="42" spans="1:8" ht="17.25" customHeight="1" x14ac:dyDescent="0.25">
      <c r="A42" s="21"/>
      <c r="B42" s="21"/>
      <c r="C42" s="21"/>
      <c r="D42" s="21"/>
      <c r="E42" s="21"/>
      <c r="F42" s="22"/>
      <c r="G42" s="25">
        <f>G19+G20+G21+G22+G23+G24+G25+G26+G27+G28+G29+G30+G35+G36+G37+G38+G39+G40+G41</f>
        <v>15351521</v>
      </c>
      <c r="H42" s="23"/>
    </row>
    <row r="43" spans="1:8" x14ac:dyDescent="0.25">
      <c r="A43" s="55"/>
      <c r="B43" s="55"/>
      <c r="C43" s="55"/>
      <c r="D43" s="55"/>
      <c r="E43" s="55"/>
      <c r="F43" s="55"/>
      <c r="G43" s="55"/>
    </row>
    <row r="44" spans="1:8" x14ac:dyDescent="0.25">
      <c r="A44" s="52"/>
      <c r="B44" s="52"/>
      <c r="C44" s="52"/>
      <c r="D44" s="52"/>
      <c r="E44" s="52"/>
      <c r="F44" s="52"/>
      <c r="G44" s="52"/>
    </row>
    <row r="45" spans="1:8" ht="15" customHeight="1" x14ac:dyDescent="0.25">
      <c r="A45" s="53" t="s">
        <v>54</v>
      </c>
      <c r="B45" s="53"/>
      <c r="C45" s="53"/>
      <c r="D45" s="53"/>
      <c r="E45" s="53"/>
      <c r="F45" s="53"/>
      <c r="G45" s="53"/>
    </row>
    <row r="46" spans="1:8" x14ac:dyDescent="0.25">
      <c r="A46" s="52"/>
      <c r="B46" s="52"/>
      <c r="C46" s="52"/>
      <c r="D46" s="52"/>
      <c r="E46" s="52"/>
      <c r="F46" s="52"/>
      <c r="G46" s="52"/>
    </row>
    <row r="47" spans="1:8" x14ac:dyDescent="0.25">
      <c r="A47" s="7" t="s">
        <v>55</v>
      </c>
      <c r="B47" s="17">
        <v>5046848237</v>
      </c>
      <c r="C47" s="9"/>
    </row>
    <row r="48" spans="1:8" x14ac:dyDescent="0.25">
      <c r="A48" s="7" t="s">
        <v>56</v>
      </c>
      <c r="B48" s="18">
        <v>0</v>
      </c>
      <c r="C48" s="9"/>
    </row>
    <row r="49" spans="1:3" x14ac:dyDescent="0.25">
      <c r="A49" s="7" t="s">
        <v>57</v>
      </c>
      <c r="B49" s="18">
        <v>0</v>
      </c>
      <c r="C49" s="9"/>
    </row>
    <row r="50" spans="1:3" x14ac:dyDescent="0.25">
      <c r="A50" s="7" t="s">
        <v>58</v>
      </c>
      <c r="B50" s="17">
        <v>46635</v>
      </c>
      <c r="C50" s="19">
        <f>B50+B51</f>
        <v>15351521</v>
      </c>
    </row>
    <row r="51" spans="1:3" x14ac:dyDescent="0.25">
      <c r="A51" s="7" t="s">
        <v>59</v>
      </c>
      <c r="B51" s="17">
        <v>15304886</v>
      </c>
      <c r="C51" s="9"/>
    </row>
    <row r="52" spans="1:3" x14ac:dyDescent="0.25">
      <c r="A52" s="7" t="s">
        <v>60</v>
      </c>
      <c r="B52" s="8">
        <v>5062199758</v>
      </c>
      <c r="C52" s="9"/>
    </row>
    <row r="53" spans="1:3" x14ac:dyDescent="0.25">
      <c r="A53" s="6"/>
    </row>
    <row r="54" spans="1:3" x14ac:dyDescent="0.25">
      <c r="A54" s="6"/>
    </row>
    <row r="55" spans="1:3" x14ac:dyDescent="0.25">
      <c r="A55" s="6"/>
    </row>
  </sheetData>
  <sortState xmlns:xlrd2="http://schemas.microsoft.com/office/spreadsheetml/2017/richdata2" ref="C19:G39">
    <sortCondition ref="D19:D39"/>
  </sortState>
  <mergeCells count="36">
    <mergeCell ref="A3:E3"/>
    <mergeCell ref="A4:E4"/>
    <mergeCell ref="A1:E1"/>
    <mergeCell ref="A2:F2"/>
    <mergeCell ref="A17:B18"/>
    <mergeCell ref="C17:C18"/>
    <mergeCell ref="D17:D18"/>
    <mergeCell ref="E17:E18"/>
    <mergeCell ref="A34:B34"/>
    <mergeCell ref="A36:B36"/>
    <mergeCell ref="A37:B37"/>
    <mergeCell ref="A25:B25"/>
    <mergeCell ref="A26:B26"/>
    <mergeCell ref="A27:B27"/>
    <mergeCell ref="A28:B28"/>
    <mergeCell ref="A29:B29"/>
    <mergeCell ref="A30:B30"/>
    <mergeCell ref="A15:G15"/>
    <mergeCell ref="A16:G16"/>
    <mergeCell ref="A31:B31"/>
    <mergeCell ref="A32:B32"/>
    <mergeCell ref="A33:B33"/>
    <mergeCell ref="A19:B19"/>
    <mergeCell ref="A20:B20"/>
    <mergeCell ref="A21:B21"/>
    <mergeCell ref="A22:B22"/>
    <mergeCell ref="A23:B23"/>
    <mergeCell ref="A24:B24"/>
    <mergeCell ref="A44:G44"/>
    <mergeCell ref="A45:G45"/>
    <mergeCell ref="A46:G46"/>
    <mergeCell ref="A38:B38"/>
    <mergeCell ref="A39:B39"/>
    <mergeCell ref="A40:B40"/>
    <mergeCell ref="A41:B41"/>
    <mergeCell ref="A43:G43"/>
  </mergeCells>
  <pageMargins left="0.75" right="0.75" top="1" bottom="1" header="0.5" footer="0.5"/>
  <pageSetup scale="5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1"/>
  <sheetViews>
    <sheetView workbookViewId="0">
      <selection activeCell="J10" sqref="J10"/>
    </sheetView>
  </sheetViews>
  <sheetFormatPr baseColWidth="10" defaultRowHeight="15" x14ac:dyDescent="0.25"/>
  <cols>
    <col min="1" max="1" width="17.85546875" bestFit="1" customWidth="1"/>
    <col min="2" max="2" width="14.7109375" customWidth="1"/>
    <col min="3" max="3" width="16.140625" bestFit="1" customWidth="1"/>
    <col min="4" max="4" width="12.7109375" bestFit="1" customWidth="1"/>
    <col min="5" max="5" width="42.7109375" customWidth="1"/>
    <col min="6" max="6" width="9.5703125" bestFit="1" customWidth="1"/>
    <col min="7" max="7" width="10.7109375" bestFit="1" customWidth="1"/>
  </cols>
  <sheetData>
    <row r="1" spans="1:7" ht="18" x14ac:dyDescent="0.25">
      <c r="A1" s="57" t="s">
        <v>0</v>
      </c>
      <c r="B1" s="57"/>
      <c r="C1" s="57"/>
      <c r="D1" s="57"/>
      <c r="E1" s="57"/>
    </row>
    <row r="2" spans="1:7" x14ac:dyDescent="0.25">
      <c r="A2" s="52"/>
      <c r="B2" s="52"/>
      <c r="C2" s="52"/>
      <c r="D2" s="52"/>
      <c r="E2" s="52"/>
      <c r="F2" s="52"/>
    </row>
    <row r="3" spans="1:7" ht="15" customHeight="1" x14ac:dyDescent="0.25">
      <c r="A3" s="53" t="s">
        <v>1</v>
      </c>
      <c r="B3" s="53"/>
      <c r="C3" s="53"/>
      <c r="D3" s="53"/>
      <c r="E3" s="53"/>
    </row>
    <row r="4" spans="1:7" x14ac:dyDescent="0.25">
      <c r="A4" s="52"/>
      <c r="B4" s="52"/>
      <c r="C4" s="52"/>
      <c r="D4" s="52"/>
      <c r="E4" s="52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43921</v>
      </c>
    </row>
    <row r="8" spans="1:7" x14ac:dyDescent="0.25">
      <c r="A8" s="2" t="s">
        <v>12</v>
      </c>
      <c r="B8" s="1" t="s">
        <v>61</v>
      </c>
      <c r="C8" s="1"/>
      <c r="D8" s="1"/>
      <c r="E8" s="1"/>
    </row>
    <row r="9" spans="1:7" ht="21" x14ac:dyDescent="0.35">
      <c r="A9" s="1"/>
      <c r="F9" s="20" t="s">
        <v>65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47</v>
      </c>
      <c r="C12" s="1"/>
      <c r="D12" s="2" t="s">
        <v>16</v>
      </c>
      <c r="E12" s="4">
        <v>43920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43920</v>
      </c>
    </row>
    <row r="14" spans="1:7" x14ac:dyDescent="0.25">
      <c r="A14" s="2" t="s">
        <v>19</v>
      </c>
      <c r="B14" s="4">
        <v>43920</v>
      </c>
      <c r="C14" s="1"/>
      <c r="D14" s="1"/>
      <c r="E14" s="1"/>
    </row>
    <row r="15" spans="1:7" ht="15" customHeight="1" x14ac:dyDescent="0.25">
      <c r="A15" s="53" t="s">
        <v>20</v>
      </c>
      <c r="B15" s="53"/>
      <c r="C15" s="53"/>
      <c r="D15" s="53"/>
      <c r="E15" s="53"/>
      <c r="F15" s="53"/>
      <c r="G15" s="53"/>
    </row>
    <row r="16" spans="1:7" ht="15.75" thickBot="1" x14ac:dyDescent="0.3">
      <c r="A16" s="52"/>
      <c r="B16" s="52"/>
      <c r="C16" s="52"/>
      <c r="D16" s="52"/>
      <c r="E16" s="52"/>
      <c r="F16" s="52"/>
      <c r="G16" s="52"/>
    </row>
    <row r="17" spans="1:8" x14ac:dyDescent="0.25">
      <c r="A17" s="58" t="s">
        <v>21</v>
      </c>
      <c r="B17" s="59"/>
      <c r="C17" s="59" t="s">
        <v>22</v>
      </c>
      <c r="D17" s="59" t="s">
        <v>23</v>
      </c>
      <c r="E17" s="59" t="s">
        <v>24</v>
      </c>
      <c r="F17" s="13" t="s">
        <v>25</v>
      </c>
      <c r="G17" s="13" t="s">
        <v>27</v>
      </c>
      <c r="H17" s="14" t="s">
        <v>63</v>
      </c>
    </row>
    <row r="18" spans="1:8" ht="15.75" thickBot="1" x14ac:dyDescent="0.3">
      <c r="A18" s="60"/>
      <c r="B18" s="61"/>
      <c r="C18" s="61"/>
      <c r="D18" s="61"/>
      <c r="E18" s="61"/>
      <c r="F18" s="15" t="s">
        <v>26</v>
      </c>
      <c r="G18" s="15" t="s">
        <v>28</v>
      </c>
      <c r="H18" s="16" t="s">
        <v>64</v>
      </c>
    </row>
    <row r="19" spans="1:8" ht="80.099999999999994" customHeight="1" x14ac:dyDescent="0.25">
      <c r="A19" s="62" t="s">
        <v>29</v>
      </c>
      <c r="B19" s="62"/>
      <c r="C19" s="10" t="s">
        <v>30</v>
      </c>
      <c r="D19" s="10" t="s">
        <v>62</v>
      </c>
      <c r="E19" s="10" t="s">
        <v>88</v>
      </c>
      <c r="F19" s="11">
        <v>0</v>
      </c>
      <c r="G19" s="12">
        <v>1646058</v>
      </c>
      <c r="H19" s="49">
        <v>1327</v>
      </c>
    </row>
    <row r="20" spans="1:8" x14ac:dyDescent="0.25">
      <c r="A20" s="55"/>
      <c r="B20" s="55"/>
      <c r="C20" s="55"/>
      <c r="D20" s="55"/>
      <c r="E20" s="55"/>
      <c r="F20" s="55"/>
      <c r="G20" s="55"/>
    </row>
    <row r="21" spans="1:8" x14ac:dyDescent="0.25">
      <c r="A21" s="5"/>
      <c r="B21" s="5"/>
      <c r="C21" s="5"/>
      <c r="D21" s="5"/>
      <c r="E21" s="5"/>
      <c r="F21" s="5"/>
      <c r="G21" s="5"/>
    </row>
    <row r="22" spans="1:8" x14ac:dyDescent="0.25">
      <c r="A22" s="5"/>
      <c r="B22" s="5"/>
      <c r="C22" s="5"/>
      <c r="D22" s="5"/>
      <c r="E22" s="5"/>
      <c r="F22" s="5"/>
      <c r="G22" s="5"/>
    </row>
    <row r="23" spans="1:8" x14ac:dyDescent="0.25">
      <c r="A23" s="5"/>
      <c r="B23" s="5"/>
      <c r="C23" s="5"/>
      <c r="D23" s="5"/>
      <c r="E23" s="5"/>
      <c r="F23" s="5"/>
      <c r="G23" s="5"/>
    </row>
    <row r="24" spans="1:8" x14ac:dyDescent="0.25">
      <c r="A24" s="5"/>
      <c r="B24" s="5"/>
      <c r="C24" s="5"/>
      <c r="D24" s="5"/>
      <c r="E24" s="5"/>
      <c r="F24" s="5"/>
      <c r="G24" s="5"/>
    </row>
    <row r="25" spans="1:8" x14ac:dyDescent="0.25">
      <c r="A25" s="5"/>
      <c r="B25" s="5"/>
      <c r="C25" s="5"/>
      <c r="D25" s="5"/>
      <c r="E25" s="5"/>
      <c r="F25" s="5"/>
      <c r="G25" s="5"/>
    </row>
    <row r="26" spans="1:8" x14ac:dyDescent="0.25">
      <c r="A26" s="5"/>
      <c r="B26" s="5"/>
      <c r="C26" s="5"/>
      <c r="D26" s="5"/>
      <c r="E26" s="5"/>
      <c r="F26" s="5"/>
      <c r="G26" s="5"/>
    </row>
    <row r="27" spans="1:8" x14ac:dyDescent="0.25">
      <c r="A27" s="5"/>
      <c r="B27" s="5"/>
      <c r="C27" s="5"/>
      <c r="D27" s="5"/>
      <c r="E27" s="5"/>
      <c r="F27" s="5"/>
      <c r="G27" s="5"/>
    </row>
    <row r="28" spans="1:8" x14ac:dyDescent="0.25">
      <c r="A28" s="5"/>
      <c r="B28" s="5"/>
      <c r="C28" s="5"/>
      <c r="D28" s="5"/>
      <c r="E28" s="5"/>
      <c r="F28" s="5"/>
      <c r="G28" s="5"/>
    </row>
    <row r="29" spans="1:8" x14ac:dyDescent="0.25">
      <c r="A29" s="5"/>
      <c r="B29" s="5"/>
      <c r="C29" s="5"/>
      <c r="D29" s="5"/>
      <c r="E29" s="5"/>
      <c r="F29" s="5"/>
      <c r="G29" s="5"/>
    </row>
    <row r="30" spans="1:8" x14ac:dyDescent="0.25">
      <c r="A30" s="52"/>
      <c r="B30" s="52"/>
      <c r="C30" s="52"/>
      <c r="D30" s="52"/>
      <c r="E30" s="52"/>
      <c r="F30" s="52"/>
      <c r="G30" s="52"/>
    </row>
    <row r="31" spans="1:8" ht="15" customHeight="1" x14ac:dyDescent="0.25">
      <c r="A31" s="53" t="s">
        <v>54</v>
      </c>
      <c r="B31" s="53"/>
      <c r="C31" s="53"/>
      <c r="D31" s="53"/>
      <c r="E31" s="53"/>
      <c r="F31" s="53"/>
      <c r="G31" s="53"/>
    </row>
    <row r="32" spans="1:8" x14ac:dyDescent="0.25">
      <c r="A32" s="52"/>
      <c r="B32" s="52"/>
      <c r="C32" s="52"/>
      <c r="D32" s="52"/>
      <c r="E32" s="52"/>
      <c r="F32" s="52"/>
      <c r="G32" s="52"/>
    </row>
    <row r="33" spans="1:3" x14ac:dyDescent="0.25">
      <c r="A33" s="7" t="s">
        <v>55</v>
      </c>
      <c r="B33" s="17">
        <v>2558205101</v>
      </c>
      <c r="C33" s="9"/>
    </row>
    <row r="34" spans="1:3" x14ac:dyDescent="0.25">
      <c r="A34" s="7" t="s">
        <v>56</v>
      </c>
      <c r="B34" s="18">
        <v>0</v>
      </c>
      <c r="C34" s="9"/>
    </row>
    <row r="35" spans="1:3" x14ac:dyDescent="0.25">
      <c r="A35" s="7" t="s">
        <v>57</v>
      </c>
      <c r="B35" s="18">
        <v>0</v>
      </c>
      <c r="C35" s="9"/>
    </row>
    <row r="36" spans="1:3" x14ac:dyDescent="0.25">
      <c r="A36" s="7" t="s">
        <v>58</v>
      </c>
      <c r="B36" s="18">
        <v>0</v>
      </c>
      <c r="C36" s="19">
        <f>B36+B37</f>
        <v>1646058</v>
      </c>
    </row>
    <row r="37" spans="1:3" x14ac:dyDescent="0.25">
      <c r="A37" s="7" t="s">
        <v>59</v>
      </c>
      <c r="B37" s="17">
        <v>1646058</v>
      </c>
      <c r="C37" s="9"/>
    </row>
    <row r="38" spans="1:3" x14ac:dyDescent="0.25">
      <c r="A38" s="7" t="s">
        <v>60</v>
      </c>
      <c r="B38" s="8">
        <v>2559851159</v>
      </c>
      <c r="C38" s="9"/>
    </row>
    <row r="39" spans="1:3" x14ac:dyDescent="0.25">
      <c r="A39" s="6"/>
    </row>
    <row r="40" spans="1:3" x14ac:dyDescent="0.25">
      <c r="A40" s="6"/>
    </row>
    <row r="41" spans="1:3" x14ac:dyDescent="0.25">
      <c r="A41" s="6"/>
    </row>
  </sheetData>
  <mergeCells count="15">
    <mergeCell ref="A16:G16"/>
    <mergeCell ref="A1:E1"/>
    <mergeCell ref="A2:F2"/>
    <mergeCell ref="A3:E3"/>
    <mergeCell ref="A4:E4"/>
    <mergeCell ref="A15:G15"/>
    <mergeCell ref="A30:G30"/>
    <mergeCell ref="A31:G31"/>
    <mergeCell ref="A32:G32"/>
    <mergeCell ref="A17:B18"/>
    <mergeCell ref="C17:C18"/>
    <mergeCell ref="D17:D18"/>
    <mergeCell ref="E17:E18"/>
    <mergeCell ref="A19:B19"/>
    <mergeCell ref="A20:G20"/>
  </mergeCells>
  <pageMargins left="0.7" right="0.7" top="0.75" bottom="0.75" header="0.3" footer="0.3"/>
  <pageSetup scale="66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2020-03-31T15:41:05Z</cp:lastPrinted>
  <dcterms:created xsi:type="dcterms:W3CDTF">2020-03-31T13:10:43Z</dcterms:created>
  <dcterms:modified xsi:type="dcterms:W3CDTF">2020-04-02T14:57:03Z</dcterms:modified>
</cp:coreProperties>
</file>