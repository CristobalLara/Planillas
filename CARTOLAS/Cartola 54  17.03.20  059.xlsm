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B378A7AA-0451-46F0-B788-BC0982F6F54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9" i="2" l="1"/>
  <c r="G47" i="2"/>
  <c r="G21" i="3" l="1"/>
  <c r="C36" i="3"/>
  <c r="G32" i="2"/>
  <c r="G29" i="2"/>
  <c r="G26" i="2"/>
  <c r="C67" i="2"/>
</calcChain>
</file>

<file path=xl/sharedStrings.xml><?xml version="1.0" encoding="utf-8"?>
<sst xmlns="http://schemas.openxmlformats.org/spreadsheetml/2006/main" count="236" uniqueCount="101">
  <si>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</si>
  <si>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</si>
  <si>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</si>
  <si>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</si>
  <si>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</si>
  <si>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</si>
  <si>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</si>
  <si>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</si>
  <si>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</si>
  <si>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</si>
  <si>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</si>
  <si>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</si>
  <si>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</si>
  <si>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</si>
  <si>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</si>
  <si>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</si>
  <si>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</si>
  <si>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</si>
  <si>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</si>
  <si>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</si>
  <si>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</si>
  <si>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</si>
  <si>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</si>
  <si>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</si>
  <si>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</si>
  <si>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</si>
  <si>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</si>
  <si>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</si>
  <si>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</si>
  <si>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17-03-2020  </t>
  </si>
  <si>
    <t>STGO.PRINCIPAL </t>
  </si>
  <si>
    <t>7128030 </t>
  </si>
  <si>
    <t>CARGO TRANSFERENCIA PAG ALTO VALOR INTERN</t>
  </si>
  <si>
    <t>7128029 </t>
  </si>
  <si>
    <t>7128027 </t>
  </si>
  <si>
    <t>7128024 </t>
  </si>
  <si>
    <t>7128028 </t>
  </si>
  <si>
    <t>7128031 </t>
  </si>
  <si>
    <t>7128026 </t>
  </si>
  <si>
    <t>7128022 </t>
  </si>
  <si>
    <t>7128023 </t>
  </si>
  <si>
    <t>0212025 </t>
  </si>
  <si>
    <t>PUTRE </t>
  </si>
  <si>
    <t>0001782 </t>
  </si>
  <si>
    <t>PAGO DE CHEQUE CON DEPOSITO CUENTA CORRIENTE</t>
  </si>
  <si>
    <t>7037748 </t>
  </si>
  <si>
    <t>TRANSFERENCIA BANCOESTADO DE I MUNIC DE CONTULMO DEPTO DE SALUD</t>
  </si>
  <si>
    <t>0203058 </t>
  </si>
  <si>
    <t>0203599 </t>
  </si>
  <si>
    <t>COMBARBALA </t>
  </si>
  <si>
    <t>0206836 </t>
  </si>
  <si>
    <t>LAS CABRAS </t>
  </si>
  <si>
    <t>0205567 </t>
  </si>
  <si>
    <t>PICA </t>
  </si>
  <si>
    <t>0207217 </t>
  </si>
  <si>
    <t>STGO. NUNOA </t>
  </si>
  <si>
    <t>2175530 </t>
  </si>
  <si>
    <t>NUEVA IMPERIAL </t>
  </si>
  <si>
    <t>1174040 </t>
  </si>
  <si>
    <t>0206266 </t>
  </si>
  <si>
    <t>0207548 </t>
  </si>
  <si>
    <t>0206508 </t>
  </si>
  <si>
    <t>1350037 </t>
  </si>
  <si>
    <t>2175340 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</si>
  <si>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</si>
  <si>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</si>
  <si>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</si>
  <si>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</si>
  <si>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</si>
  <si>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</si>
  <si>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</si>
  <si>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</si>
  <si>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</si>
  <si>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Comprobantes</t>
  </si>
  <si>
    <t>total</t>
  </si>
  <si>
    <t>CENTRAL DE ABASTECIMIENTOS SNS EQUIP Y</t>
  </si>
  <si>
    <t>2175430 </t>
  </si>
  <si>
    <t>0001711 </t>
  </si>
  <si>
    <t>12   Comprobantes</t>
  </si>
  <si>
    <t>ABONO PAGO A PROVEEDORES HOSPITAL DE BARROS LUCO TRUDEUX</t>
  </si>
  <si>
    <t>ABONO PAGO A PROVEEDORES SUBSECRETARIA DE SALUD PUBLICA</t>
  </si>
  <si>
    <t>ABONO PAGO A PROVEEDORES HOSPITAL DE TAL TAL</t>
  </si>
  <si>
    <t>ABONO PAGO A PROVEEDORES HOSPITAL DE MARCHIGUE</t>
  </si>
  <si>
    <t>ABONO PAGO A PROVEEDORES SERVICIO DE SALUD DE IQUIQUE</t>
  </si>
  <si>
    <t>ABONO PAGO A PROVEEDORES MUNICIPALIDAD DE CARAHUE</t>
  </si>
  <si>
    <t>ABONO PAGO A PROVEEDORES HOSPITAL DE QUELLON</t>
  </si>
  <si>
    <t>ABONO PAGO A PROVEEDORES HOSPITAL DE CHIMBARONGO</t>
  </si>
  <si>
    <t>ABONO PAGO A PROVEEDORES MUNICIPALIDAD DE VICUÑA</t>
  </si>
  <si>
    <t>DEPOSITO CON DOCUMENTOS MUNICIPALIDAD DE NUEVA IMPERIAL</t>
  </si>
  <si>
    <t>69.030.500-3 STGO.PRINCIPAL </t>
  </si>
  <si>
    <t>PAGOS VARIOS DESDE BCO SANTANDER MUNICIPALIDAD DE VALLENAR</t>
  </si>
  <si>
    <t>DEPOSITO CON DOCUMENTOS HECHO POR CENABAST:</t>
  </si>
  <si>
    <t>TOTAL</t>
  </si>
  <si>
    <t>MUICIPALIDAD DE RECOLETA</t>
  </si>
  <si>
    <t>DEPOSITO CON DOCUMENTOS HECHO POR CENABAST: MUNICIPALIDAD DE HUECHURABA</t>
  </si>
  <si>
    <t>AJUSTE CENABAST</t>
  </si>
  <si>
    <t>61.608.108-K STGO.PRINCIPAL </t>
  </si>
  <si>
    <t>TRANSFERENCIA SISTEMA PAGO ALTO VALOR SERVICIO DE SALUD DEL SUR UNIDAD HOSPITALARIA</t>
  </si>
  <si>
    <t>DEPOSITO CON DOCUMENTOS HECHO POR CENABAST:  DEVOLUCION DE AGENTE ADUANA MEWES</t>
  </si>
  <si>
    <t>ingreso 12-1191 anulado por 12-1249 por haberlos sumado. Y debe ser individual</t>
  </si>
  <si>
    <t>STGO. NUNOA cheque retirado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</si>
</sst>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5">
    <xf numFmtId="0" fontId="0" fillId="0" borderId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3" fontId="0" fillId="0" borderId="10" xfId="0" applyNumberFormat="1" applyBorder="1"/>
    <xf numFmtId="41" fontId="21" fillId="0" borderId="11" xfId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2" fillId="0" borderId="0" xfId="0" applyFont="1"/>
    <xf numFmtId="0" fontId="16" fillId="0" borderId="0" xfId="0" applyFont="1" applyBorder="1" applyAlignment="1">
      <alignment horizontal="right" vertical="top" wrapText="1"/>
    </xf>
    <xf numFmtId="0" fontId="16" fillId="0" borderId="13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23" xfId="0" applyFont="1" applyBorder="1" applyAlignment="1">
      <alignment wrapText="1"/>
    </xf>
    <xf numFmtId="0" fontId="16" fillId="0" borderId="24" xfId="0" applyFont="1" applyBorder="1" applyAlignment="1">
      <alignment wrapText="1"/>
    </xf>
    <xf numFmtId="0" fontId="23" fillId="0" borderId="24" xfId="0" applyFont="1" applyBorder="1" applyAlignment="1">
      <alignment horizontal="right" wrapText="1"/>
    </xf>
    <xf numFmtId="0" fontId="23" fillId="0" borderId="25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21" fillId="0" borderId="20" xfId="0" applyFont="1" applyBorder="1" applyAlignment="1">
      <alignment horizontal="right" wrapText="1"/>
    </xf>
    <xf numFmtId="3" fontId="23" fillId="0" borderId="12" xfId="0" applyNumberFormat="1" applyFont="1" applyBorder="1" applyAlignment="1">
      <alignment horizontal="right" wrapText="1"/>
    </xf>
    <xf numFmtId="0" fontId="0" fillId="0" borderId="20" xfId="0" applyBorder="1" applyAlignment="1">
      <alignment wrapText="1"/>
    </xf>
    <xf numFmtId="0" fontId="0" fillId="0" borderId="26" xfId="0" applyBorder="1" applyAlignment="1">
      <alignment wrapText="1"/>
    </xf>
    <xf numFmtId="3" fontId="23" fillId="0" borderId="15" xfId="0" applyNumberFormat="1" applyFont="1" applyBorder="1" applyAlignment="1">
      <alignment horizontal="right" wrapText="1"/>
    </xf>
    <xf numFmtId="0" fontId="21" fillId="0" borderId="27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23" fillId="0" borderId="12" xfId="0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3" fontId="21" fillId="0" borderId="11" xfId="0" applyNumberFormat="1" applyFont="1" applyBorder="1" applyAlignment="1">
      <alignment horizontal="right" vertical="center" wrapText="1"/>
    </xf>
    <xf numFmtId="0" fontId="0" fillId="0" borderId="0" xfId="0" applyBorder="1" applyAlignment="1">
      <alignment vertical="center" wrapText="1"/>
    </xf>
    <xf numFmtId="0" fontId="21" fillId="0" borderId="0" xfId="0" applyFont="1" applyBorder="1" applyAlignment="1">
      <alignment horizontal="right" vertical="center" wrapText="1"/>
    </xf>
    <xf numFmtId="0" fontId="0" fillId="0" borderId="0" xfId="0" applyBorder="1" applyAlignment="1">
      <alignment vertical="center"/>
    </xf>
    <xf numFmtId="0" fontId="16" fillId="0" borderId="11" xfId="0" applyFont="1" applyBorder="1" applyAlignment="1">
      <alignment vertical="center" wrapText="1"/>
    </xf>
    <xf numFmtId="0" fontId="16" fillId="0" borderId="10" xfId="0" applyFont="1" applyBorder="1" applyAlignment="1">
      <alignment vertical="center" wrapText="1"/>
    </xf>
    <xf numFmtId="0" fontId="21" fillId="0" borderId="19" xfId="0" applyFont="1" applyBorder="1" applyAlignment="1">
      <alignment horizontal="right" vertical="center" wrapText="1"/>
    </xf>
    <xf numFmtId="0" fontId="21" fillId="0" borderId="20" xfId="0" applyFont="1" applyBorder="1" applyAlignment="1">
      <alignment horizontal="right" vertical="center" wrapText="1"/>
    </xf>
    <xf numFmtId="3" fontId="23" fillId="0" borderId="29" xfId="0" applyNumberFormat="1" applyFont="1" applyBorder="1" applyAlignment="1">
      <alignment horizontal="right" vertical="center" wrapText="1"/>
    </xf>
    <xf numFmtId="3" fontId="23" fillId="0" borderId="30" xfId="0" applyNumberFormat="1" applyFont="1" applyBorder="1" applyAlignment="1">
      <alignment horizontal="right" vertical="center" wrapText="1"/>
    </xf>
    <xf numFmtId="0" fontId="16" fillId="0" borderId="26" xfId="0" applyFont="1" applyBorder="1" applyAlignment="1">
      <alignment wrapText="1"/>
    </xf>
    <xf numFmtId="3" fontId="23" fillId="0" borderId="31" xfId="0" applyNumberFormat="1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0" fontId="21" fillId="0" borderId="19" xfId="0" applyFont="1" applyBorder="1" applyAlignment="1">
      <alignment horizontal="right" wrapText="1"/>
    </xf>
    <xf numFmtId="0" fontId="0" fillId="0" borderId="32" xfId="0" applyBorder="1" applyAlignment="1">
      <alignment wrapText="1"/>
    </xf>
    <xf numFmtId="0" fontId="16" fillId="0" borderId="32" xfId="0" applyFont="1" applyBorder="1" applyAlignment="1">
      <alignment wrapText="1"/>
    </xf>
    <xf numFmtId="0" fontId="21" fillId="0" borderId="33" xfId="0" applyFont="1" applyBorder="1" applyAlignment="1">
      <alignment horizontal="right" wrapText="1"/>
    </xf>
    <xf numFmtId="0" fontId="16" fillId="0" borderId="11" xfId="0" applyFont="1" applyBorder="1" applyAlignment="1">
      <alignment wrapText="1"/>
    </xf>
    <xf numFmtId="3" fontId="23" fillId="0" borderId="34" xfId="0" applyNumberFormat="1" applyFont="1" applyBorder="1" applyAlignment="1">
      <alignment horizontal="right" wrapText="1"/>
    </xf>
    <xf numFmtId="3" fontId="23" fillId="0" borderId="36" xfId="0" applyNumberFormat="1" applyFont="1" applyBorder="1" applyAlignment="1">
      <alignment horizontal="right" wrapText="1"/>
    </xf>
    <xf numFmtId="0" fontId="22" fillId="0" borderId="21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left" wrapText="1"/>
    </xf>
    <xf numFmtId="0" fontId="26" fillId="0" borderId="13" xfId="0" applyFont="1" applyBorder="1" applyAlignment="1">
      <alignment wrapText="1"/>
    </xf>
    <xf numFmtId="0" fontId="26" fillId="0" borderId="35" xfId="0" applyFont="1" applyBorder="1" applyAlignment="1">
      <alignment wrapText="1"/>
    </xf>
    <xf numFmtId="0" fontId="26" fillId="0" borderId="16" xfId="0" applyFont="1" applyBorder="1" applyAlignment="1">
      <alignment wrapText="1"/>
    </xf>
    <xf numFmtId="0" fontId="26" fillId="0" borderId="23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20" xfId="0" applyBorder="1" applyAlignment="1">
      <alignment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1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1" xfId="0" applyBorder="1" applyAlignment="1">
      <alignment vertical="center" wrapText="1"/>
    </xf>
    <xf numFmtId="0" fontId="0" fillId="0" borderId="10" xfId="0" applyBorder="1" applyAlignment="1">
      <alignment vertical="center" wrapText="1"/>
    </xf>
  </cellXfs>
  <cellStyles count="45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Hipervínculo" xfId="43" builtinId="8" customBuiltin="1"/>
    <cellStyle name="Hipervínculo visitado" xfId="44" builtinId="9" customBuiltin="1"/>
    <cellStyle name="Incorrecto" xfId="8" builtinId="27" customBuiltin="1"/>
    <cellStyle name="Millares [0]" xfId="1" builtinId="6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72"/>
  <sheetViews>
    <sheetView showGridLines="0" tabSelected="1" topLeftCell="A7" workbookViewId="0">
      <selection activeCell="E13" sqref="E13"/>
    </sheetView>
  </sheetViews>
  <sheetFormatPr baseColWidth="10" defaultRowHeight="15" x14ac:dyDescent="0.25"/>
  <cols>
    <col min="1" max="1" width="17.85546875" bestFit="1" customWidth="1"/>
    <col min="2" max="2" width="15.85546875" customWidth="1"/>
    <col min="3" max="3" width="16.57031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2" bestFit="1" customWidth="1"/>
  </cols>
  <sheetData>
    <row r="1" spans="1:7" ht="18" customHeight="1" x14ac:dyDescent="0.25">
      <c r="A1" s="82" t="s">
        <v>0</v>
      </c>
      <c r="B1" s="82"/>
      <c r="C1" s="82"/>
      <c r="D1" s="82"/>
      <c r="E1" s="82"/>
    </row>
    <row r="2" spans="1:7" x14ac:dyDescent="0.25">
      <c r="A2" s="78"/>
      <c r="B2" s="78"/>
      <c r="C2" s="78"/>
      <c r="D2" s="78"/>
      <c r="E2" s="78"/>
      <c r="F2" s="78"/>
    </row>
    <row r="3" spans="1:7" ht="15" customHeight="1" x14ac:dyDescent="0.25">
      <c r="A3" s="81" t="s">
        <v>1</v>
      </c>
      <c r="B3" s="81"/>
      <c r="C3" s="81"/>
      <c r="D3" s="81"/>
      <c r="E3" s="81"/>
    </row>
    <row r="4" spans="1:7" x14ac:dyDescent="0.25">
      <c r="A4" s="78"/>
      <c r="B4" s="78"/>
      <c r="C4" s="78"/>
      <c r="D4" s="78"/>
      <c r="E4" s="7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3" t="s">
        <v>73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54</v>
      </c>
      <c r="C12" s="1"/>
      <c r="D12" s="2" t="s">
        <v>16</v>
      </c>
      <c r="E12" s="4">
        <v>43907</v>
      </c>
    </row>
    <row r="13" spans="1:7" x14ac:dyDescent="0.25">
      <c r="A13" s="2" t="s">
        <v>17</v>
      </c>
      <c r="B13" s="3">
        <v>30</v>
      </c>
      <c r="C13" s="1"/>
      <c r="D13" s="2" t="s">
        <v>18</v>
      </c>
      <c r="E13" s="4">
        <v>43907</v>
      </c>
    </row>
    <row r="14" spans="1:7" x14ac:dyDescent="0.25">
      <c r="A14" s="2" t="s">
        <v>19</v>
      </c>
      <c r="B14" s="4">
        <v>43907</v>
      </c>
      <c r="C14" s="1"/>
      <c r="D14" s="1"/>
      <c r="E14" s="1"/>
    </row>
    <row r="15" spans="1:7" ht="15" customHeight="1" x14ac:dyDescent="0.25">
      <c r="A15" s="81" t="s">
        <v>20</v>
      </c>
      <c r="B15" s="81"/>
      <c r="C15" s="81"/>
      <c r="D15" s="81"/>
      <c r="E15" s="81"/>
      <c r="F15" s="81"/>
      <c r="G15" s="81"/>
    </row>
    <row r="16" spans="1:7" ht="15.75" thickBot="1" x14ac:dyDescent="0.3">
      <c r="A16" s="78"/>
      <c r="B16" s="78"/>
      <c r="C16" s="78"/>
      <c r="D16" s="78"/>
      <c r="E16" s="78"/>
      <c r="F16" s="78"/>
      <c r="G16" s="78"/>
    </row>
    <row r="17" spans="1:8" x14ac:dyDescent="0.25">
      <c r="A17" s="83" t="s">
        <v>21</v>
      </c>
      <c r="B17" s="84"/>
      <c r="C17" s="84" t="s">
        <v>22</v>
      </c>
      <c r="D17" s="84" t="s">
        <v>23</v>
      </c>
      <c r="E17" s="84" t="s">
        <v>24</v>
      </c>
      <c r="F17" s="19" t="s">
        <v>25</v>
      </c>
      <c r="G17" s="19" t="s">
        <v>27</v>
      </c>
      <c r="H17" s="20" t="s">
        <v>71</v>
      </c>
    </row>
    <row r="18" spans="1:8" ht="15.75" thickBot="1" x14ac:dyDescent="0.3">
      <c r="A18" s="85"/>
      <c r="B18" s="86"/>
      <c r="C18" s="87"/>
      <c r="D18" s="87"/>
      <c r="E18" s="87"/>
      <c r="F18" s="24" t="s">
        <v>26</v>
      </c>
      <c r="G18" s="24" t="s">
        <v>28</v>
      </c>
      <c r="H18" s="22" t="s">
        <v>72</v>
      </c>
    </row>
    <row r="19" spans="1:8" ht="32.25" thickBot="1" x14ac:dyDescent="0.4">
      <c r="A19" s="88" t="s">
        <v>29</v>
      </c>
      <c r="B19" s="89"/>
      <c r="C19" s="32" t="s">
        <v>42</v>
      </c>
      <c r="D19" s="33" t="s">
        <v>43</v>
      </c>
      <c r="E19" s="33" t="s">
        <v>44</v>
      </c>
      <c r="F19" s="34">
        <v>0</v>
      </c>
      <c r="G19" s="35">
        <v>715</v>
      </c>
      <c r="H19" s="69">
        <v>1186</v>
      </c>
    </row>
    <row r="20" spans="1:8" ht="32.25" thickBot="1" x14ac:dyDescent="0.4">
      <c r="A20" s="79" t="s">
        <v>29</v>
      </c>
      <c r="B20" s="80"/>
      <c r="C20" s="32" t="s">
        <v>49</v>
      </c>
      <c r="D20" s="33" t="s">
        <v>43</v>
      </c>
      <c r="E20" s="33" t="s">
        <v>44</v>
      </c>
      <c r="F20" s="34">
        <v>0</v>
      </c>
      <c r="G20" s="36">
        <v>11727</v>
      </c>
      <c r="H20" s="70">
        <v>1187</v>
      </c>
    </row>
    <row r="21" spans="1:8" ht="32.25" thickBot="1" x14ac:dyDescent="0.4">
      <c r="A21" s="79" t="s">
        <v>29</v>
      </c>
      <c r="B21" s="80"/>
      <c r="C21" s="32" t="s">
        <v>51</v>
      </c>
      <c r="D21" s="33" t="s">
        <v>43</v>
      </c>
      <c r="E21" s="33" t="s">
        <v>44</v>
      </c>
      <c r="F21" s="34">
        <v>0</v>
      </c>
      <c r="G21" s="36">
        <v>21391</v>
      </c>
      <c r="H21" s="69">
        <v>1188</v>
      </c>
    </row>
    <row r="22" spans="1:8" ht="32.25" thickBot="1" x14ac:dyDescent="0.4">
      <c r="A22" s="79" t="s">
        <v>29</v>
      </c>
      <c r="B22" s="80"/>
      <c r="C22" s="32" t="s">
        <v>53</v>
      </c>
      <c r="D22" s="33" t="s">
        <v>43</v>
      </c>
      <c r="E22" s="33" t="s">
        <v>44</v>
      </c>
      <c r="F22" s="34">
        <v>0</v>
      </c>
      <c r="G22" s="36">
        <v>36650</v>
      </c>
      <c r="H22" s="70">
        <v>1189</v>
      </c>
    </row>
    <row r="23" spans="1:8" ht="32.25" thickBot="1" x14ac:dyDescent="0.4">
      <c r="A23" s="79" t="s">
        <v>29</v>
      </c>
      <c r="B23" s="79"/>
      <c r="C23" s="17" t="s">
        <v>30</v>
      </c>
      <c r="D23" s="40" t="s">
        <v>47</v>
      </c>
      <c r="E23" s="58" t="s">
        <v>79</v>
      </c>
      <c r="F23" s="42">
        <v>0</v>
      </c>
      <c r="G23" s="59">
        <v>50338391</v>
      </c>
      <c r="H23" s="69">
        <v>1190</v>
      </c>
    </row>
    <row r="24" spans="1:8" ht="30" customHeight="1" x14ac:dyDescent="0.35">
      <c r="A24" s="79" t="s">
        <v>29</v>
      </c>
      <c r="B24" s="79"/>
      <c r="C24" s="39" t="s">
        <v>30</v>
      </c>
      <c r="D24" s="25" t="s">
        <v>48</v>
      </c>
      <c r="E24" s="26" t="s">
        <v>80</v>
      </c>
      <c r="F24" s="27">
        <v>0</v>
      </c>
      <c r="G24" s="41">
        <v>136918589</v>
      </c>
      <c r="H24" s="70">
        <v>1250</v>
      </c>
    </row>
    <row r="25" spans="1:8" ht="30" customHeight="1" thickBot="1" x14ac:dyDescent="0.4">
      <c r="A25" s="79" t="s">
        <v>29</v>
      </c>
      <c r="B25" s="79"/>
      <c r="C25" s="39" t="s">
        <v>30</v>
      </c>
      <c r="D25" s="28" t="s">
        <v>48</v>
      </c>
      <c r="E25" s="29" t="s">
        <v>80</v>
      </c>
      <c r="F25" s="30">
        <v>0</v>
      </c>
      <c r="G25" s="31">
        <v>5932519</v>
      </c>
      <c r="H25" s="70">
        <v>1251</v>
      </c>
    </row>
    <row r="26" spans="1:8" ht="33" customHeight="1" thickBot="1" x14ac:dyDescent="0.4">
      <c r="A26" s="8"/>
      <c r="B26" s="8"/>
      <c r="C26" s="8"/>
      <c r="D26" s="40"/>
      <c r="E26" s="73" t="s">
        <v>99</v>
      </c>
      <c r="F26" s="42" t="s">
        <v>74</v>
      </c>
      <c r="G26" s="43">
        <f>SUM(G24:G25)</f>
        <v>142851108</v>
      </c>
      <c r="H26" s="70"/>
    </row>
    <row r="27" spans="1:8" ht="30" customHeight="1" x14ac:dyDescent="0.35">
      <c r="A27" s="79" t="s">
        <v>29</v>
      </c>
      <c r="B27" s="79"/>
      <c r="C27" s="39" t="s">
        <v>30</v>
      </c>
      <c r="D27" s="25" t="s">
        <v>52</v>
      </c>
      <c r="E27" s="26" t="s">
        <v>81</v>
      </c>
      <c r="F27" s="27">
        <v>0</v>
      </c>
      <c r="G27" s="41">
        <v>21645</v>
      </c>
      <c r="H27" s="70"/>
    </row>
    <row r="28" spans="1:8" ht="30" customHeight="1" thickBot="1" x14ac:dyDescent="0.4">
      <c r="A28" s="79" t="s">
        <v>29</v>
      </c>
      <c r="B28" s="79"/>
      <c r="C28" s="39" t="s">
        <v>30</v>
      </c>
      <c r="D28" s="28" t="s">
        <v>52</v>
      </c>
      <c r="E28" s="29" t="s">
        <v>81</v>
      </c>
      <c r="F28" s="30">
        <v>0</v>
      </c>
      <c r="G28" s="31">
        <v>106575</v>
      </c>
      <c r="H28" s="70"/>
    </row>
    <row r="29" spans="1:8" ht="18" customHeight="1" thickBot="1" x14ac:dyDescent="0.4">
      <c r="A29" s="8"/>
      <c r="B29" s="8"/>
      <c r="C29" s="8"/>
      <c r="D29" s="40"/>
      <c r="E29" s="40"/>
      <c r="F29" s="42" t="s">
        <v>74</v>
      </c>
      <c r="G29" s="43">
        <f>SUM(G27:G28)</f>
        <v>128220</v>
      </c>
      <c r="H29" s="70">
        <v>1192</v>
      </c>
    </row>
    <row r="30" spans="1:8" ht="30" customHeight="1" x14ac:dyDescent="0.35">
      <c r="A30" s="79" t="s">
        <v>29</v>
      </c>
      <c r="B30" s="79"/>
      <c r="C30" s="39" t="s">
        <v>30</v>
      </c>
      <c r="D30" s="25" t="s">
        <v>59</v>
      </c>
      <c r="E30" s="26" t="s">
        <v>82</v>
      </c>
      <c r="F30" s="27">
        <v>0</v>
      </c>
      <c r="G30" s="41">
        <v>238553</v>
      </c>
      <c r="H30" s="70"/>
    </row>
    <row r="31" spans="1:8" ht="30" customHeight="1" thickBot="1" x14ac:dyDescent="0.4">
      <c r="A31" s="79" t="s">
        <v>29</v>
      </c>
      <c r="B31" s="79"/>
      <c r="C31" s="39" t="s">
        <v>30</v>
      </c>
      <c r="D31" s="28" t="s">
        <v>59</v>
      </c>
      <c r="E31" s="29" t="s">
        <v>82</v>
      </c>
      <c r="F31" s="30">
        <v>0</v>
      </c>
      <c r="G31" s="31">
        <v>297271</v>
      </c>
      <c r="H31" s="70"/>
    </row>
    <row r="32" spans="1:8" ht="18" customHeight="1" thickBot="1" x14ac:dyDescent="0.4">
      <c r="A32" s="8"/>
      <c r="B32" s="8"/>
      <c r="C32" s="8"/>
      <c r="D32" s="17"/>
      <c r="E32" s="17"/>
      <c r="F32" s="62" t="s">
        <v>74</v>
      </c>
      <c r="G32" s="38">
        <f>SUM(G30:G31)</f>
        <v>535824</v>
      </c>
      <c r="H32" s="70">
        <v>1193</v>
      </c>
    </row>
    <row r="33" spans="1:8" ht="32.25" thickBot="1" x14ac:dyDescent="0.4">
      <c r="A33" s="79" t="s">
        <v>29</v>
      </c>
      <c r="B33" s="79"/>
      <c r="C33" s="8" t="s">
        <v>30</v>
      </c>
      <c r="D33" s="8" t="s">
        <v>61</v>
      </c>
      <c r="E33" s="45" t="s">
        <v>83</v>
      </c>
      <c r="F33" s="37">
        <v>0</v>
      </c>
      <c r="G33" s="38">
        <v>1377263</v>
      </c>
      <c r="H33" s="70">
        <v>1194</v>
      </c>
    </row>
    <row r="34" spans="1:8" ht="32.25" thickBot="1" x14ac:dyDescent="0.4">
      <c r="A34" s="79" t="s">
        <v>29</v>
      </c>
      <c r="B34" s="79"/>
      <c r="C34" s="8" t="s">
        <v>30</v>
      </c>
      <c r="D34" s="8" t="s">
        <v>50</v>
      </c>
      <c r="E34" s="45" t="s">
        <v>84</v>
      </c>
      <c r="F34" s="37">
        <v>0</v>
      </c>
      <c r="G34" s="38">
        <v>20941</v>
      </c>
      <c r="H34" s="70">
        <v>1195</v>
      </c>
    </row>
    <row r="35" spans="1:8" ht="32.25" thickBot="1" x14ac:dyDescent="0.4">
      <c r="A35" s="79" t="s">
        <v>29</v>
      </c>
      <c r="B35" s="79"/>
      <c r="C35" s="8" t="s">
        <v>30</v>
      </c>
      <c r="D35" s="8" t="s">
        <v>54</v>
      </c>
      <c r="E35" s="45" t="s">
        <v>85</v>
      </c>
      <c r="F35" s="37">
        <v>0</v>
      </c>
      <c r="G35" s="38">
        <v>40377</v>
      </c>
      <c r="H35" s="70">
        <v>1196</v>
      </c>
    </row>
    <row r="36" spans="1:8" ht="32.25" thickBot="1" x14ac:dyDescent="0.4">
      <c r="A36" s="79" t="s">
        <v>29</v>
      </c>
      <c r="B36" s="79"/>
      <c r="C36" s="8" t="s">
        <v>30</v>
      </c>
      <c r="D36" s="8" t="s">
        <v>60</v>
      </c>
      <c r="E36" s="45" t="s">
        <v>86</v>
      </c>
      <c r="F36" s="37">
        <v>0</v>
      </c>
      <c r="G36" s="38">
        <v>1131866</v>
      </c>
      <c r="H36" s="70">
        <v>1197</v>
      </c>
    </row>
    <row r="37" spans="1:8" ht="32.25" thickBot="1" x14ac:dyDescent="0.4">
      <c r="A37" s="79" t="s">
        <v>29</v>
      </c>
      <c r="B37" s="79"/>
      <c r="C37" s="8" t="s">
        <v>30</v>
      </c>
      <c r="D37" s="8" t="s">
        <v>41</v>
      </c>
      <c r="E37" s="45" t="s">
        <v>87</v>
      </c>
      <c r="F37" s="37">
        <v>0</v>
      </c>
      <c r="G37" s="44">
        <v>715</v>
      </c>
      <c r="H37" s="70">
        <v>1198</v>
      </c>
    </row>
    <row r="38" spans="1:8" ht="32.25" thickBot="1" x14ac:dyDescent="0.4">
      <c r="A38" s="79" t="s">
        <v>29</v>
      </c>
      <c r="B38" s="79"/>
      <c r="C38" s="8" t="s">
        <v>57</v>
      </c>
      <c r="D38" s="8" t="s">
        <v>58</v>
      </c>
      <c r="E38" s="45" t="s">
        <v>88</v>
      </c>
      <c r="F38" s="37">
        <v>0</v>
      </c>
      <c r="G38" s="38">
        <v>158462</v>
      </c>
      <c r="H38" s="70">
        <v>1199</v>
      </c>
    </row>
    <row r="39" spans="1:8" ht="32.25" thickBot="1" x14ac:dyDescent="0.4">
      <c r="A39" s="79" t="s">
        <v>29</v>
      </c>
      <c r="B39" s="79"/>
      <c r="C39" s="63" t="s">
        <v>89</v>
      </c>
      <c r="D39" s="63" t="s">
        <v>62</v>
      </c>
      <c r="E39" s="64" t="s">
        <v>90</v>
      </c>
      <c r="F39" s="65">
        <v>0</v>
      </c>
      <c r="G39" s="59">
        <v>3446239</v>
      </c>
      <c r="H39" s="70">
        <v>1200</v>
      </c>
    </row>
    <row r="40" spans="1:8" ht="31.5" x14ac:dyDescent="0.35">
      <c r="A40" s="79" t="s">
        <v>29</v>
      </c>
      <c r="B40" s="80"/>
      <c r="C40" s="74" t="s">
        <v>100</v>
      </c>
      <c r="D40" s="26" t="s">
        <v>63</v>
      </c>
      <c r="E40" s="26" t="s">
        <v>91</v>
      </c>
      <c r="F40" s="27">
        <v>0</v>
      </c>
      <c r="G40" s="41">
        <v>0</v>
      </c>
      <c r="H40" s="70"/>
    </row>
    <row r="41" spans="1:8" ht="30" customHeight="1" x14ac:dyDescent="0.35">
      <c r="A41" s="79" t="s">
        <v>29</v>
      </c>
      <c r="B41" s="80"/>
      <c r="C41" s="75" t="s">
        <v>100</v>
      </c>
      <c r="D41" s="60" t="s">
        <v>63</v>
      </c>
      <c r="E41" s="60" t="s">
        <v>93</v>
      </c>
      <c r="F41" s="61">
        <v>0</v>
      </c>
      <c r="G41" s="68">
        <v>1008727</v>
      </c>
      <c r="H41" s="70">
        <v>1201</v>
      </c>
    </row>
    <row r="42" spans="1:8" ht="30" customHeight="1" x14ac:dyDescent="0.35">
      <c r="A42" s="79" t="s">
        <v>29</v>
      </c>
      <c r="B42" s="80"/>
      <c r="C42" s="75" t="s">
        <v>100</v>
      </c>
      <c r="D42" s="60" t="s">
        <v>63</v>
      </c>
      <c r="E42" s="60" t="s">
        <v>93</v>
      </c>
      <c r="F42" s="61">
        <v>0</v>
      </c>
      <c r="G42" s="68">
        <v>885954</v>
      </c>
      <c r="H42" s="70">
        <v>1202</v>
      </c>
    </row>
    <row r="43" spans="1:8" ht="30" customHeight="1" x14ac:dyDescent="0.35">
      <c r="A43" s="79" t="s">
        <v>29</v>
      </c>
      <c r="B43" s="80"/>
      <c r="C43" s="75" t="s">
        <v>100</v>
      </c>
      <c r="D43" s="60" t="s">
        <v>63</v>
      </c>
      <c r="E43" s="60" t="s">
        <v>93</v>
      </c>
      <c r="F43" s="61">
        <v>0</v>
      </c>
      <c r="G43" s="68">
        <v>715</v>
      </c>
      <c r="H43" s="70">
        <v>1203</v>
      </c>
    </row>
    <row r="44" spans="1:8" ht="30" customHeight="1" x14ac:dyDescent="0.35">
      <c r="A44" s="79" t="s">
        <v>29</v>
      </c>
      <c r="B44" s="80"/>
      <c r="C44" s="75" t="s">
        <v>100</v>
      </c>
      <c r="D44" s="60" t="s">
        <v>63</v>
      </c>
      <c r="E44" s="60" t="s">
        <v>93</v>
      </c>
      <c r="F44" s="61">
        <v>0</v>
      </c>
      <c r="G44" s="68">
        <v>263267</v>
      </c>
      <c r="H44" s="70">
        <v>1204</v>
      </c>
    </row>
    <row r="45" spans="1:8" ht="30" customHeight="1" x14ac:dyDescent="0.35">
      <c r="A45" s="79" t="s">
        <v>29</v>
      </c>
      <c r="B45" s="80"/>
      <c r="C45" s="75" t="s">
        <v>100</v>
      </c>
      <c r="D45" s="60" t="s">
        <v>63</v>
      </c>
      <c r="E45" s="60" t="s">
        <v>93</v>
      </c>
      <c r="F45" s="61">
        <v>0</v>
      </c>
      <c r="G45" s="68">
        <v>729899</v>
      </c>
      <c r="H45" s="70">
        <v>1205</v>
      </c>
    </row>
    <row r="46" spans="1:8" ht="30" customHeight="1" thickBot="1" x14ac:dyDescent="0.4">
      <c r="A46" s="79" t="s">
        <v>29</v>
      </c>
      <c r="B46" s="80"/>
      <c r="C46" s="76" t="s">
        <v>100</v>
      </c>
      <c r="D46" s="29" t="s">
        <v>63</v>
      </c>
      <c r="E46" s="29" t="s">
        <v>93</v>
      </c>
      <c r="F46" s="30">
        <v>0</v>
      </c>
      <c r="G46" s="31">
        <v>2307819</v>
      </c>
      <c r="H46" s="70">
        <v>1206</v>
      </c>
    </row>
    <row r="47" spans="1:8" ht="17.25" customHeight="1" thickBot="1" x14ac:dyDescent="0.4">
      <c r="A47" s="15"/>
      <c r="B47" s="15"/>
      <c r="C47" s="40"/>
      <c r="D47" s="40"/>
      <c r="E47" s="58"/>
      <c r="F47" s="42" t="s">
        <v>92</v>
      </c>
      <c r="G47" s="43">
        <f>SUM(G41:G46)</f>
        <v>5196381</v>
      </c>
      <c r="H47" s="70"/>
    </row>
    <row r="48" spans="1:8" ht="32.25" thickBot="1" x14ac:dyDescent="0.4">
      <c r="A48" s="79" t="s">
        <v>29</v>
      </c>
      <c r="B48" s="80"/>
      <c r="C48" s="77" t="s">
        <v>100</v>
      </c>
      <c r="D48" s="33" t="s">
        <v>56</v>
      </c>
      <c r="E48" s="33" t="s">
        <v>94</v>
      </c>
      <c r="F48" s="34">
        <v>0</v>
      </c>
      <c r="G48" s="36">
        <v>143477</v>
      </c>
      <c r="H48" s="70">
        <v>1207</v>
      </c>
    </row>
    <row r="49" spans="1:8" ht="32.25" thickBot="1" x14ac:dyDescent="0.4">
      <c r="A49" s="79" t="s">
        <v>29</v>
      </c>
      <c r="B49" s="79"/>
      <c r="C49" s="17" t="s">
        <v>30</v>
      </c>
      <c r="D49" s="17" t="s">
        <v>45</v>
      </c>
      <c r="E49" s="66" t="s">
        <v>46</v>
      </c>
      <c r="F49" s="62">
        <v>0</v>
      </c>
      <c r="G49" s="67">
        <v>2649</v>
      </c>
      <c r="H49" s="70">
        <v>1208</v>
      </c>
    </row>
    <row r="50" spans="1:8" ht="30" customHeight="1" x14ac:dyDescent="0.25">
      <c r="A50" s="79" t="s">
        <v>29</v>
      </c>
      <c r="B50" s="79"/>
      <c r="C50" s="8" t="s">
        <v>30</v>
      </c>
      <c r="D50" s="8" t="s">
        <v>39</v>
      </c>
      <c r="E50" s="8" t="s">
        <v>32</v>
      </c>
      <c r="F50" s="12">
        <v>906043</v>
      </c>
      <c r="G50" s="18">
        <v>0</v>
      </c>
      <c r="H50" s="10"/>
    </row>
    <row r="51" spans="1:8" ht="30" customHeight="1" x14ac:dyDescent="0.25">
      <c r="A51" s="79" t="s">
        <v>29</v>
      </c>
      <c r="B51" s="79"/>
      <c r="C51" s="8" t="s">
        <v>30</v>
      </c>
      <c r="D51" s="8" t="s">
        <v>40</v>
      </c>
      <c r="E51" s="8" t="s">
        <v>32</v>
      </c>
      <c r="F51" s="12">
        <v>1400748</v>
      </c>
      <c r="G51" s="16">
        <v>0</v>
      </c>
      <c r="H51" s="10"/>
    </row>
    <row r="52" spans="1:8" ht="30" customHeight="1" x14ac:dyDescent="0.25">
      <c r="A52" s="79" t="s">
        <v>29</v>
      </c>
      <c r="B52" s="79"/>
      <c r="C52" s="8" t="s">
        <v>30</v>
      </c>
      <c r="D52" s="8" t="s">
        <v>35</v>
      </c>
      <c r="E52" s="8" t="s">
        <v>32</v>
      </c>
      <c r="F52" s="12">
        <v>211035</v>
      </c>
      <c r="G52" s="16">
        <v>0</v>
      </c>
      <c r="H52" s="10"/>
    </row>
    <row r="53" spans="1:8" ht="30" customHeight="1" x14ac:dyDescent="0.25">
      <c r="A53" s="79" t="s">
        <v>29</v>
      </c>
      <c r="B53" s="79"/>
      <c r="C53" s="8" t="s">
        <v>30</v>
      </c>
      <c r="D53" s="8" t="s">
        <v>38</v>
      </c>
      <c r="E53" s="8" t="s">
        <v>32</v>
      </c>
      <c r="F53" s="12">
        <v>651920</v>
      </c>
      <c r="G53" s="16">
        <v>0</v>
      </c>
      <c r="H53" s="10"/>
    </row>
    <row r="54" spans="1:8" ht="30" customHeight="1" x14ac:dyDescent="0.25">
      <c r="A54" s="79" t="s">
        <v>29</v>
      </c>
      <c r="B54" s="79"/>
      <c r="C54" s="8" t="s">
        <v>30</v>
      </c>
      <c r="D54" s="8" t="s">
        <v>34</v>
      </c>
      <c r="E54" s="8" t="s">
        <v>32</v>
      </c>
      <c r="F54" s="12">
        <v>211035</v>
      </c>
      <c r="G54" s="16">
        <v>0</v>
      </c>
      <c r="H54" s="10"/>
    </row>
    <row r="55" spans="1:8" ht="30" customHeight="1" x14ac:dyDescent="0.25">
      <c r="A55" s="79" t="s">
        <v>29</v>
      </c>
      <c r="B55" s="79"/>
      <c r="C55" s="8" t="s">
        <v>30</v>
      </c>
      <c r="D55" s="8" t="s">
        <v>36</v>
      </c>
      <c r="E55" s="8" t="s">
        <v>32</v>
      </c>
      <c r="F55" s="12">
        <v>211035</v>
      </c>
      <c r="G55" s="16">
        <v>0</v>
      </c>
      <c r="H55" s="10"/>
    </row>
    <row r="56" spans="1:8" ht="30" customHeight="1" x14ac:dyDescent="0.25">
      <c r="A56" s="79" t="s">
        <v>29</v>
      </c>
      <c r="B56" s="79"/>
      <c r="C56" s="8" t="s">
        <v>30</v>
      </c>
      <c r="D56" s="8" t="s">
        <v>33</v>
      </c>
      <c r="E56" s="8" t="s">
        <v>32</v>
      </c>
      <c r="F56" s="12">
        <v>211035</v>
      </c>
      <c r="G56" s="16">
        <v>0</v>
      </c>
      <c r="H56" s="10"/>
    </row>
    <row r="57" spans="1:8" ht="30" customHeight="1" x14ac:dyDescent="0.25">
      <c r="A57" s="79" t="s">
        <v>29</v>
      </c>
      <c r="B57" s="79"/>
      <c r="C57" s="8" t="s">
        <v>30</v>
      </c>
      <c r="D57" s="8" t="s">
        <v>31</v>
      </c>
      <c r="E57" s="8" t="s">
        <v>32</v>
      </c>
      <c r="F57" s="12">
        <v>211035</v>
      </c>
      <c r="G57" s="16">
        <v>0</v>
      </c>
      <c r="H57" s="10"/>
    </row>
    <row r="58" spans="1:8" ht="30" customHeight="1" x14ac:dyDescent="0.25">
      <c r="A58" s="79" t="s">
        <v>29</v>
      </c>
      <c r="B58" s="79"/>
      <c r="C58" s="8" t="s">
        <v>30</v>
      </c>
      <c r="D58" s="8" t="s">
        <v>37</v>
      </c>
      <c r="E58" s="8" t="s">
        <v>32</v>
      </c>
      <c r="F58" s="12">
        <v>211035</v>
      </c>
      <c r="G58" s="16">
        <v>0</v>
      </c>
      <c r="H58" s="10"/>
    </row>
    <row r="59" spans="1:8" ht="15" customHeight="1" x14ac:dyDescent="0.25">
      <c r="A59" s="1"/>
      <c r="B59" s="1"/>
      <c r="C59" s="1"/>
      <c r="D59" s="1"/>
      <c r="E59" s="1"/>
      <c r="F59" s="5"/>
      <c r="G59" s="14">
        <f>G19+G20+G21+G22+G23+G26+G29+G32+G33+G34+G35+G36+G37+G38+G39+G47+G48+G49</f>
        <v>205442396</v>
      </c>
    </row>
    <row r="60" spans="1:8" x14ac:dyDescent="0.25">
      <c r="A60" s="90"/>
      <c r="B60" s="90"/>
      <c r="C60" s="90"/>
      <c r="D60" s="90"/>
      <c r="E60" s="90"/>
      <c r="F60" s="90"/>
      <c r="G60" s="90"/>
    </row>
    <row r="61" spans="1:8" x14ac:dyDescent="0.25">
      <c r="A61" s="78"/>
      <c r="B61" s="78"/>
      <c r="C61" s="78"/>
      <c r="D61" s="78"/>
      <c r="E61" s="78"/>
      <c r="F61" s="78"/>
      <c r="G61" s="78"/>
    </row>
    <row r="62" spans="1:8" ht="15" customHeight="1" x14ac:dyDescent="0.25">
      <c r="A62" s="81" t="s">
        <v>64</v>
      </c>
      <c r="B62" s="81"/>
      <c r="C62" s="81"/>
      <c r="D62" s="81"/>
      <c r="E62" s="81"/>
      <c r="F62" s="81"/>
      <c r="G62" s="81"/>
    </row>
    <row r="63" spans="1:8" x14ac:dyDescent="0.25">
      <c r="A63" s="78"/>
      <c r="B63" s="78"/>
      <c r="C63" s="78"/>
      <c r="D63" s="78"/>
      <c r="E63" s="78"/>
      <c r="F63" s="78"/>
      <c r="G63" s="78"/>
    </row>
    <row r="64" spans="1:8" x14ac:dyDescent="0.25">
      <c r="A64" s="8" t="s">
        <v>65</v>
      </c>
      <c r="B64" s="9">
        <v>5517753450</v>
      </c>
      <c r="C64" s="10"/>
    </row>
    <row r="65" spans="1:3" x14ac:dyDescent="0.25">
      <c r="A65" s="8" t="s">
        <v>66</v>
      </c>
      <c r="B65" s="11">
        <v>0</v>
      </c>
      <c r="C65" s="10"/>
    </row>
    <row r="66" spans="1:3" x14ac:dyDescent="0.25">
      <c r="A66" s="8" t="s">
        <v>67</v>
      </c>
      <c r="B66" s="9">
        <v>4224921</v>
      </c>
      <c r="C66" s="10"/>
    </row>
    <row r="67" spans="1:3" x14ac:dyDescent="0.25">
      <c r="A67" s="8" t="s">
        <v>68</v>
      </c>
      <c r="B67" s="9">
        <v>5498320</v>
      </c>
      <c r="C67" s="13">
        <f>B67+B68</f>
        <v>205442396</v>
      </c>
    </row>
    <row r="68" spans="1:3" x14ac:dyDescent="0.25">
      <c r="A68" s="8" t="s">
        <v>69</v>
      </c>
      <c r="B68" s="9">
        <v>199944076</v>
      </c>
      <c r="C68" s="10"/>
    </row>
    <row r="69" spans="1:3" x14ac:dyDescent="0.25">
      <c r="A69" s="8" t="s">
        <v>70</v>
      </c>
      <c r="B69" s="12">
        <v>5718970925</v>
      </c>
      <c r="C69" s="10"/>
    </row>
    <row r="70" spans="1:3" x14ac:dyDescent="0.25">
      <c r="A70" s="7"/>
    </row>
    <row r="71" spans="1:3" x14ac:dyDescent="0.25">
      <c r="A71" s="7"/>
    </row>
    <row r="72" spans="1:3" x14ac:dyDescent="0.25">
      <c r="A72" s="7"/>
    </row>
  </sheetData>
  <sortState xmlns:xlrd2="http://schemas.microsoft.com/office/spreadsheetml/2017/richdata2" ref="C19:G58">
    <sortCondition ref="D19:D58"/>
  </sortState>
  <mergeCells count="50">
    <mergeCell ref="A49:B49"/>
    <mergeCell ref="A50:B50"/>
    <mergeCell ref="A51:B51"/>
    <mergeCell ref="A39:B39"/>
    <mergeCell ref="A36:B36"/>
    <mergeCell ref="A37:B37"/>
    <mergeCell ref="A38:B38"/>
    <mergeCell ref="A40:B40"/>
    <mergeCell ref="A48:B48"/>
    <mergeCell ref="A28:B28"/>
    <mergeCell ref="A30:B30"/>
    <mergeCell ref="A31:B31"/>
    <mergeCell ref="A63:G63"/>
    <mergeCell ref="A53:B53"/>
    <mergeCell ref="A54:B54"/>
    <mergeCell ref="A55:B55"/>
    <mergeCell ref="A56:B56"/>
    <mergeCell ref="A57:B57"/>
    <mergeCell ref="A58:B58"/>
    <mergeCell ref="A60:G60"/>
    <mergeCell ref="A61:G61"/>
    <mergeCell ref="A62:G62"/>
    <mergeCell ref="A52:B52"/>
    <mergeCell ref="A34:B34"/>
    <mergeCell ref="A35:B35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46:B46"/>
    <mergeCell ref="A41:B41"/>
    <mergeCell ref="A42:B42"/>
    <mergeCell ref="A43:B43"/>
    <mergeCell ref="A44:B44"/>
    <mergeCell ref="A45:B45"/>
    <mergeCell ref="A33:B33"/>
    <mergeCell ref="A24:B24"/>
    <mergeCell ref="A19:B19"/>
    <mergeCell ref="A20:B20"/>
    <mergeCell ref="A21:B21"/>
    <mergeCell ref="A22:B22"/>
    <mergeCell ref="A23:B23"/>
    <mergeCell ref="A25:B25"/>
    <mergeCell ref="A27:B27"/>
  </mergeCells>
  <pageMargins left="0.75" right="0.75" top="1" bottom="1" header="0.5" footer="0.5"/>
  <pageSetup scale="62" fitToHeight="0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1"/>
  <sheetViews>
    <sheetView topLeftCell="A10" workbookViewId="0">
      <selection activeCell="H29" sqref="H29"/>
    </sheetView>
  </sheetViews>
  <sheetFormatPr baseColWidth="10" defaultRowHeight="15" x14ac:dyDescent="0.25"/>
  <cols>
    <col min="1" max="1" width="17.85546875" bestFit="1" customWidth="1"/>
    <col min="2" max="2" width="16.7109375" customWidth="1"/>
    <col min="3" max="3" width="16.140625" bestFit="1" customWidth="1"/>
    <col min="4" max="4" width="12.7109375" bestFit="1" customWidth="1"/>
    <col min="5" max="5" width="41.140625" bestFit="1" customWidth="1"/>
    <col min="6" max="6" width="9.5703125" bestFit="1" customWidth="1"/>
    <col min="7" max="7" width="10.7109375" bestFit="1" customWidth="1"/>
  </cols>
  <sheetData>
    <row r="1" spans="1:7" ht="18" x14ac:dyDescent="0.25">
      <c r="A1" s="82" t="s">
        <v>0</v>
      </c>
      <c r="B1" s="82"/>
      <c r="C1" s="82"/>
      <c r="D1" s="82"/>
      <c r="E1" s="82"/>
    </row>
    <row r="2" spans="1:7" x14ac:dyDescent="0.25">
      <c r="A2" s="78"/>
      <c r="B2" s="78"/>
      <c r="C2" s="78"/>
      <c r="D2" s="78"/>
      <c r="E2" s="78"/>
      <c r="F2" s="78"/>
    </row>
    <row r="3" spans="1:7" ht="15" customHeight="1" x14ac:dyDescent="0.25">
      <c r="A3" s="81" t="s">
        <v>1</v>
      </c>
      <c r="B3" s="81"/>
      <c r="C3" s="81"/>
      <c r="D3" s="81"/>
      <c r="E3" s="81"/>
    </row>
    <row r="4" spans="1:7" x14ac:dyDescent="0.25">
      <c r="A4" s="78"/>
      <c r="B4" s="78"/>
      <c r="C4" s="78"/>
      <c r="D4" s="78"/>
      <c r="E4" s="7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75</v>
      </c>
      <c r="C8" s="1"/>
      <c r="D8" s="1"/>
      <c r="E8" s="1"/>
    </row>
    <row r="9" spans="1:7" ht="21" x14ac:dyDescent="0.35">
      <c r="A9" s="1"/>
      <c r="F9" s="23" t="s">
        <v>78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42</v>
      </c>
      <c r="C12" s="1"/>
      <c r="D12" s="2" t="s">
        <v>16</v>
      </c>
      <c r="E12" s="4">
        <v>43907</v>
      </c>
    </row>
    <row r="13" spans="1:7" x14ac:dyDescent="0.25">
      <c r="A13" s="2" t="s">
        <v>17</v>
      </c>
      <c r="B13" s="3">
        <v>2</v>
      </c>
      <c r="C13" s="1"/>
      <c r="D13" s="2" t="s">
        <v>18</v>
      </c>
      <c r="E13" s="4">
        <v>43907</v>
      </c>
    </row>
    <row r="14" spans="1:7" x14ac:dyDescent="0.25">
      <c r="A14" s="2" t="s">
        <v>19</v>
      </c>
      <c r="B14" s="4">
        <v>43907</v>
      </c>
      <c r="C14" s="1"/>
      <c r="D14" s="1"/>
      <c r="E14" s="1"/>
    </row>
    <row r="15" spans="1:7" ht="15" customHeight="1" x14ac:dyDescent="0.25">
      <c r="A15" s="81" t="s">
        <v>20</v>
      </c>
      <c r="B15" s="81"/>
      <c r="C15" s="81"/>
      <c r="D15" s="81"/>
      <c r="E15" s="81"/>
      <c r="F15" s="81"/>
      <c r="G15" s="81"/>
    </row>
    <row r="16" spans="1:7" ht="15.75" thickBot="1" x14ac:dyDescent="0.3">
      <c r="A16" s="78"/>
      <c r="B16" s="78"/>
      <c r="C16" s="78"/>
      <c r="D16" s="78"/>
      <c r="E16" s="78"/>
      <c r="F16" s="78"/>
      <c r="G16" s="78"/>
    </row>
    <row r="17" spans="1:8" x14ac:dyDescent="0.25">
      <c r="A17" s="83" t="s">
        <v>21</v>
      </c>
      <c r="B17" s="84"/>
      <c r="C17" s="84" t="s">
        <v>22</v>
      </c>
      <c r="D17" s="84" t="s">
        <v>23</v>
      </c>
      <c r="E17" s="84" t="s">
        <v>24</v>
      </c>
      <c r="F17" s="19" t="s">
        <v>25</v>
      </c>
      <c r="G17" s="19" t="s">
        <v>27</v>
      </c>
      <c r="H17" s="20" t="s">
        <v>71</v>
      </c>
    </row>
    <row r="18" spans="1:8" ht="15.75" thickBot="1" x14ac:dyDescent="0.3">
      <c r="A18" s="85"/>
      <c r="B18" s="86"/>
      <c r="C18" s="86"/>
      <c r="D18" s="86"/>
      <c r="E18" s="86"/>
      <c r="F18" s="21" t="s">
        <v>26</v>
      </c>
      <c r="G18" s="21" t="s">
        <v>28</v>
      </c>
      <c r="H18" s="22" t="s">
        <v>72</v>
      </c>
    </row>
    <row r="19" spans="1:8" ht="80.099999999999994" customHeight="1" x14ac:dyDescent="0.25">
      <c r="A19" s="91" t="s">
        <v>29</v>
      </c>
      <c r="B19" s="91"/>
      <c r="C19" s="47" t="s">
        <v>55</v>
      </c>
      <c r="D19" s="47" t="s">
        <v>76</v>
      </c>
      <c r="E19" s="52" t="s">
        <v>98</v>
      </c>
      <c r="F19" s="54">
        <v>0</v>
      </c>
      <c r="G19" s="56">
        <v>145270</v>
      </c>
      <c r="H19" s="72" t="s">
        <v>95</v>
      </c>
    </row>
    <row r="20" spans="1:8" ht="80.099999999999994" customHeight="1" thickBot="1" x14ac:dyDescent="0.3">
      <c r="A20" s="92" t="s">
        <v>29</v>
      </c>
      <c r="B20" s="92"/>
      <c r="C20" s="46" t="s">
        <v>96</v>
      </c>
      <c r="D20" s="46" t="s">
        <v>77</v>
      </c>
      <c r="E20" s="53" t="s">
        <v>97</v>
      </c>
      <c r="F20" s="55">
        <v>0</v>
      </c>
      <c r="G20" s="57">
        <v>4168308</v>
      </c>
      <c r="H20" s="71">
        <v>1245</v>
      </c>
    </row>
    <row r="21" spans="1:8" ht="21" customHeight="1" x14ac:dyDescent="0.25">
      <c r="A21" s="49"/>
      <c r="B21" s="49"/>
      <c r="C21" s="49"/>
      <c r="D21" s="49"/>
      <c r="E21" s="49"/>
      <c r="F21" s="50"/>
      <c r="G21" s="48">
        <f>G19+G20</f>
        <v>4313578</v>
      </c>
      <c r="H21" s="51"/>
    </row>
    <row r="22" spans="1:8" x14ac:dyDescent="0.25">
      <c r="A22" s="90"/>
      <c r="B22" s="90"/>
      <c r="C22" s="90"/>
      <c r="D22" s="90"/>
      <c r="E22" s="90"/>
      <c r="F22" s="90"/>
      <c r="G22" s="90"/>
    </row>
    <row r="23" spans="1:8" x14ac:dyDescent="0.25">
      <c r="A23" s="6"/>
      <c r="B23" s="6"/>
      <c r="C23" s="6"/>
      <c r="D23" s="6"/>
      <c r="E23" s="6"/>
      <c r="F23" s="6"/>
      <c r="G23" s="6"/>
    </row>
    <row r="24" spans="1:8" x14ac:dyDescent="0.25">
      <c r="A24" s="6"/>
      <c r="B24" s="6"/>
      <c r="C24" s="6"/>
      <c r="D24" s="6"/>
      <c r="E24" s="6"/>
      <c r="F24" s="6"/>
      <c r="G24" s="6"/>
    </row>
    <row r="25" spans="1:8" x14ac:dyDescent="0.25">
      <c r="A25" s="6"/>
      <c r="B25" s="6"/>
      <c r="C25" s="6"/>
      <c r="D25" s="6"/>
      <c r="E25" s="6"/>
      <c r="F25" s="6"/>
      <c r="G25" s="6"/>
    </row>
    <row r="26" spans="1:8" x14ac:dyDescent="0.25">
      <c r="A26" s="6"/>
      <c r="B26" s="6"/>
      <c r="C26" s="6"/>
      <c r="D26" s="6"/>
      <c r="E26" s="6"/>
      <c r="F26" s="6"/>
      <c r="G26" s="6"/>
    </row>
    <row r="27" spans="1:8" x14ac:dyDescent="0.25">
      <c r="A27" s="6"/>
      <c r="B27" s="6"/>
      <c r="C27" s="6"/>
      <c r="D27" s="6"/>
      <c r="E27" s="6"/>
      <c r="F27" s="6"/>
      <c r="G27" s="6"/>
    </row>
    <row r="28" spans="1:8" x14ac:dyDescent="0.25">
      <c r="A28" s="6"/>
      <c r="B28" s="6"/>
      <c r="C28" s="6"/>
      <c r="D28" s="6"/>
      <c r="E28" s="6"/>
      <c r="F28" s="6"/>
      <c r="G28" s="6"/>
    </row>
    <row r="29" spans="1:8" x14ac:dyDescent="0.25">
      <c r="A29" s="6"/>
      <c r="B29" s="6"/>
      <c r="C29" s="6"/>
      <c r="D29" s="6"/>
      <c r="E29" s="6"/>
      <c r="F29" s="6"/>
      <c r="G29" s="6"/>
    </row>
    <row r="30" spans="1:8" x14ac:dyDescent="0.25">
      <c r="A30" s="78"/>
      <c r="B30" s="78"/>
      <c r="C30" s="78"/>
      <c r="D30" s="78"/>
      <c r="E30" s="78"/>
      <c r="F30" s="78"/>
      <c r="G30" s="78"/>
    </row>
    <row r="31" spans="1:8" ht="15" customHeight="1" x14ac:dyDescent="0.25">
      <c r="A31" s="81" t="s">
        <v>64</v>
      </c>
      <c r="B31" s="81"/>
      <c r="C31" s="81"/>
      <c r="D31" s="81"/>
      <c r="E31" s="81"/>
      <c r="F31" s="81"/>
      <c r="G31" s="81"/>
    </row>
    <row r="32" spans="1:8" x14ac:dyDescent="0.25">
      <c r="A32" s="78"/>
      <c r="B32" s="78"/>
      <c r="C32" s="78"/>
      <c r="D32" s="78"/>
      <c r="E32" s="78"/>
      <c r="F32" s="78"/>
      <c r="G32" s="78"/>
    </row>
    <row r="33" spans="1:3" x14ac:dyDescent="0.25">
      <c r="A33" s="8" t="s">
        <v>65</v>
      </c>
      <c r="B33" s="9">
        <v>2530043145</v>
      </c>
      <c r="C33" s="10"/>
    </row>
    <row r="34" spans="1:3" x14ac:dyDescent="0.25">
      <c r="A34" s="8" t="s">
        <v>66</v>
      </c>
      <c r="B34" s="11">
        <v>0</v>
      </c>
      <c r="C34" s="10"/>
    </row>
    <row r="35" spans="1:3" x14ac:dyDescent="0.25">
      <c r="A35" s="8" t="s">
        <v>67</v>
      </c>
      <c r="B35" s="11">
        <v>0</v>
      </c>
      <c r="C35" s="10"/>
    </row>
    <row r="36" spans="1:3" x14ac:dyDescent="0.25">
      <c r="A36" s="8" t="s">
        <v>68</v>
      </c>
      <c r="B36" s="9">
        <v>145270</v>
      </c>
      <c r="C36" s="13">
        <f>B36+B37</f>
        <v>4313578</v>
      </c>
    </row>
    <row r="37" spans="1:3" x14ac:dyDescent="0.25">
      <c r="A37" s="8" t="s">
        <v>69</v>
      </c>
      <c r="B37" s="9">
        <v>4168308</v>
      </c>
      <c r="C37" s="10"/>
    </row>
    <row r="38" spans="1:3" x14ac:dyDescent="0.25">
      <c r="A38" s="8" t="s">
        <v>70</v>
      </c>
      <c r="B38" s="12">
        <v>2534356723</v>
      </c>
      <c r="C38" s="10"/>
    </row>
    <row r="39" spans="1:3" x14ac:dyDescent="0.25">
      <c r="A39" s="7"/>
    </row>
    <row r="40" spans="1:3" x14ac:dyDescent="0.25">
      <c r="A40" s="7"/>
    </row>
    <row r="41" spans="1:3" x14ac:dyDescent="0.25">
      <c r="A41" s="7"/>
    </row>
  </sheetData>
  <mergeCells count="16">
    <mergeCell ref="A22:G22"/>
    <mergeCell ref="A30:G30"/>
    <mergeCell ref="A31:G31"/>
    <mergeCell ref="A32:G32"/>
    <mergeCell ref="A17:B18"/>
    <mergeCell ref="C17:C18"/>
    <mergeCell ref="D17:D18"/>
    <mergeCell ref="E17:E18"/>
    <mergeCell ref="A19:B19"/>
    <mergeCell ref="A20:B20"/>
    <mergeCell ref="A16:G16"/>
    <mergeCell ref="A1:E1"/>
    <mergeCell ref="A2:F2"/>
    <mergeCell ref="A3:E3"/>
    <mergeCell ref="A4:E4"/>
    <mergeCell ref="A15:G15"/>
  </mergeCells>
  <pageMargins left="0.7" right="0.7" top="0.75" bottom="0.75" header="0.3" footer="0.3"/>
  <pageSetup scale="66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2020-03-24T18:24:28Z</cp:lastPrinted>
  <dcterms:created xsi:type="dcterms:W3CDTF">2020-03-20T20:10:45Z</dcterms:created>
  <dcterms:modified xsi:type="dcterms:W3CDTF">2020-03-30T15:58:38Z</dcterms:modified>
</cp:coreProperties>
</file>