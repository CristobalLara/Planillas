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3B397810-D1B7-4185-8C53-1A9ED8E715B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9210059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0" i="2" l="1"/>
  <c r="G26" i="2"/>
  <c r="C58" i="2" l="1"/>
</calcChain>
</file>

<file path=xl/sharedStrings.xml><?xml version="1.0" encoding="utf-8"?>
<sst xmlns="http://schemas.openxmlformats.org/spreadsheetml/2006/main" count="160" uniqueCount="78">
  <si>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</si>
  <si>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</si>
  <si>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</si>
  <si>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</si>
  <si>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</si>
  <si>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</si>
  <si>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</si>
  <si>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</si>
  <si>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</si>
  <si>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</si>
  <si>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</si>
  <si>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</si>
  <si>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</si>
  <si>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</si>
  <si>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</si>
  <si>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</si>
  <si>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</si>
  <si>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</si>
  <si>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</si>
  <si>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</si>
  <si>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</si>
  <si>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</si>
  <si>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</si>
  <si>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</si>
  <si>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</si>
  <si>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</si>
  <si>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</si>
  <si>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</si>
  <si>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</si>
  <si>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23-03-2020  </t>
  </si>
  <si>
    <t>STGO.PRINCIPAL </t>
  </si>
  <si>
    <t>7035084 </t>
  </si>
  <si>
    <t>TRANSFERENCIA OTRO BANCO A AGENCIA DE ADUANA GUILLERMO MORALES</t>
  </si>
  <si>
    <t>7038030 </t>
  </si>
  <si>
    <t>7032374 </t>
  </si>
  <si>
    <t>7037317 </t>
  </si>
  <si>
    <t>7036830 </t>
  </si>
  <si>
    <t>7036409 </t>
  </si>
  <si>
    <t>7032984 </t>
  </si>
  <si>
    <t>7035217 </t>
  </si>
  <si>
    <t>7031808 </t>
  </si>
  <si>
    <t>7031544 </t>
  </si>
  <si>
    <t>7030929 </t>
  </si>
  <si>
    <t>7032657 </t>
  </si>
  <si>
    <t>7033800 </t>
  </si>
  <si>
    <t>7129447 </t>
  </si>
  <si>
    <t>CARGO TRANSFERENCIA PAG ALTO VALOR INTERN</t>
  </si>
  <si>
    <t>0211699 </t>
  </si>
  <si>
    <t>0213691 </t>
  </si>
  <si>
    <t>0203058 </t>
  </si>
  <si>
    <t>0203062 </t>
  </si>
  <si>
    <t>0209176 </t>
  </si>
  <si>
    <t>7022323 </t>
  </si>
  <si>
    <t>TRANSFERENCIA BANCOESTADO DE HOSPITAL DE MEJILLONES</t>
  </si>
  <si>
    <t>7053167 </t>
  </si>
  <si>
    <t>TRANSFERENCIA BANCOESTADO DE CONSULTORIO GENERAL URBANO VICTOR DOMINGO SILVA</t>
  </si>
  <si>
    <t>STGO. SAN DIEGO </t>
  </si>
  <si>
    <t>2062790 </t>
  </si>
  <si>
    <t>24-03-2020  </t>
  </si>
  <si>
    <t>7090582 </t>
  </si>
  <si>
    <t>7091917 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</si>
  <si>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</si>
  <si>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</si>
  <si>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</si>
  <si>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</si>
  <si>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</si>
  <si>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</si>
  <si>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</si>
  <si>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Numeros</t>
  </si>
  <si>
    <t>Ingresos</t>
  </si>
  <si>
    <t>12   Comprobantes</t>
  </si>
  <si>
    <t>ABONO PAGO A PROVEEDORES HOSPITAL DE TENO</t>
  </si>
  <si>
    <t>ABONO PAGO A PROVEEDORES MUNICIPALIDAD DE PUERTO OCTAY</t>
  </si>
  <si>
    <t>ABONO PAGO A PROVEEDORES MUNICIPALIDAD DE HUALQUI</t>
  </si>
  <si>
    <t>DEPOSITO CON DOCUMENTOS HOSPITAL LUCIO CORDOVA</t>
  </si>
  <si>
    <t>ABONO PAGO A PROVEEDORES HOSPITAL DE BARROS LUCO T.</t>
  </si>
  <si>
    <t>ABONO PAGO A PROVEEDORES CENTRO DE REFERENCIA DE SALUD DE MAIPU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</si>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</sst>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0" fontId="14" fillId="0" borderId="0" xfId="0" applyFont="1"/>
    <xf numFmtId="0" fontId="0" fillId="0" borderId="10" xfId="0" applyBorder="1" applyAlignment="1">
      <alignment wrapText="1"/>
    </xf>
    <xf numFmtId="0" fontId="21" fillId="0" borderId="10" xfId="0" applyFont="1" applyBorder="1" applyAlignment="1">
      <alignment horizontal="right" wrapText="1"/>
    </xf>
    <xf numFmtId="3" fontId="21" fillId="0" borderId="10" xfId="0" applyNumberFormat="1" applyFont="1" applyBorder="1" applyAlignment="1">
      <alignment horizontal="right" wrapText="1"/>
    </xf>
    <xf numFmtId="0" fontId="0" fillId="0" borderId="10" xfId="0" applyBorder="1"/>
    <xf numFmtId="0" fontId="0" fillId="0" borderId="0" xfId="0" applyBorder="1" applyAlignment="1">
      <alignment wrapText="1"/>
    </xf>
    <xf numFmtId="3" fontId="21" fillId="0" borderId="0" xfId="0" applyNumberFormat="1" applyFont="1" applyBorder="1" applyAlignment="1">
      <alignment horizontal="right" wrapText="1"/>
    </xf>
    <xf numFmtId="0" fontId="0" fillId="0" borderId="0" xfId="0" applyBorder="1"/>
    <xf numFmtId="3" fontId="0" fillId="0" borderId="10" xfId="0" applyNumberFormat="1" applyBorder="1" applyAlignment="1">
      <alignment horizontal="right" wrapText="1"/>
    </xf>
    <xf numFmtId="0" fontId="0" fillId="0" borderId="10" xfId="0" applyBorder="1" applyAlignment="1">
      <alignment horizontal="right" wrapText="1"/>
    </xf>
    <xf numFmtId="3" fontId="0" fillId="0" borderId="10" xfId="0" applyNumberFormat="1" applyBorder="1"/>
    <xf numFmtId="0" fontId="0" fillId="0" borderId="12" xfId="0" applyBorder="1" applyAlignment="1">
      <alignment wrapText="1"/>
    </xf>
    <xf numFmtId="0" fontId="21" fillId="0" borderId="12" xfId="0" applyFont="1" applyBorder="1" applyAlignment="1">
      <alignment horizontal="right" wrapText="1"/>
    </xf>
    <xf numFmtId="0" fontId="0" fillId="0" borderId="12" xfId="0" applyBorder="1"/>
    <xf numFmtId="0" fontId="16" fillId="0" borderId="14" xfId="0" applyFont="1" applyBorder="1" applyAlignment="1">
      <alignment horizontal="right" vertical="top" wrapText="1"/>
    </xf>
    <xf numFmtId="0" fontId="16" fillId="0" borderId="15" xfId="0" applyFont="1" applyBorder="1"/>
    <xf numFmtId="0" fontId="16" fillId="0" borderId="17" xfId="0" applyFont="1" applyBorder="1" applyAlignment="1">
      <alignment horizontal="right" vertical="top" wrapText="1"/>
    </xf>
    <xf numFmtId="0" fontId="16" fillId="0" borderId="18" xfId="0" applyFont="1" applyBorder="1"/>
    <xf numFmtId="0" fontId="22" fillId="0" borderId="0" xfId="0" applyFont="1"/>
    <xf numFmtId="0" fontId="16" fillId="0" borderId="10" xfId="0" applyFont="1" applyBorder="1" applyAlignment="1">
      <alignment wrapText="1"/>
    </xf>
    <xf numFmtId="3" fontId="23" fillId="0" borderId="10" xfId="0" applyNumberFormat="1" applyFont="1" applyBorder="1" applyAlignment="1">
      <alignment horizontal="right" wrapText="1"/>
    </xf>
    <xf numFmtId="0" fontId="21" fillId="0" borderId="19" xfId="0" applyFont="1" applyBorder="1" applyAlignment="1">
      <alignment horizontal="right" wrapText="1"/>
    </xf>
    <xf numFmtId="3" fontId="23" fillId="0" borderId="11" xfId="0" applyNumberFormat="1" applyFont="1" applyBorder="1" applyAlignment="1">
      <alignment horizontal="right" wrapText="1"/>
    </xf>
    <xf numFmtId="3" fontId="23" fillId="0" borderId="12" xfId="0" applyNumberFormat="1" applyFont="1" applyBorder="1" applyAlignment="1">
      <alignment horizontal="right" wrapText="1"/>
    </xf>
    <xf numFmtId="0" fontId="23" fillId="0" borderId="11" xfId="0" applyFont="1" applyBorder="1" applyAlignment="1">
      <alignment horizontal="right" wrapText="1"/>
    </xf>
    <xf numFmtId="0" fontId="16" fillId="0" borderId="12" xfId="0" applyFont="1" applyBorder="1" applyAlignment="1">
      <alignment wrapText="1"/>
    </xf>
    <xf numFmtId="3" fontId="23" fillId="0" borderId="21" xfId="0" applyNumberFormat="1" applyFont="1" applyBorder="1" applyAlignment="1">
      <alignment horizontal="right" wrapText="1"/>
    </xf>
    <xf numFmtId="0" fontId="0" fillId="0" borderId="10" xfId="0" applyBorder="1" applyAlignment="1">
      <alignment wrapText="1"/>
    </xf>
    <xf numFmtId="0" fontId="22" fillId="0" borderId="20" xfId="0" applyFont="1" applyBorder="1" applyAlignment="1">
      <alignment horizontal="center" vertical="center"/>
    </xf>
    <xf numFmtId="0" fontId="0" fillId="0" borderId="20" xfId="0" applyBorder="1"/>
    <xf numFmtId="0" fontId="0" fillId="0" borderId="0" xfId="0" applyAlignment="1">
      <alignment horizontal="right" wrapText="1"/>
    </xf>
    <xf numFmtId="0" fontId="16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20" fillId="0" borderId="0" xfId="0" applyFont="1" applyAlignment="1">
      <alignment wrapText="1"/>
    </xf>
    <xf numFmtId="0" fontId="16" fillId="0" borderId="13" xfId="0" applyFont="1" applyBorder="1" applyAlignment="1">
      <alignment vertical="top" wrapText="1"/>
    </xf>
    <xf numFmtId="0" fontId="16" fillId="0" borderId="14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 customBuiltin="1"/>
    <cellStyle name="Hipervínculo visitado" xfId="43" builtinId="9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63"/>
  <sheetViews>
    <sheetView showGridLines="0" tabSelected="1" topLeftCell="A17" workbookViewId="0">
      <selection activeCell="J28" sqref="J28"/>
    </sheetView>
  </sheetViews>
  <sheetFormatPr baseColWidth="10" defaultRowHeight="15" x14ac:dyDescent="0.25"/>
  <cols>
    <col min="1" max="1" width="17.85546875" bestFit="1" customWidth="1"/>
    <col min="2" max="2" width="12.85546875" customWidth="1"/>
    <col min="3" max="3" width="17" bestFit="1" customWidth="1"/>
    <col min="4" max="4" width="12.7109375" bestFit="1" customWidth="1"/>
    <col min="5" max="5" width="45.7109375" bestFit="1" customWidth="1"/>
    <col min="6" max="6" width="10.140625" bestFit="1" customWidth="1"/>
    <col min="7" max="7" width="10.7109375" bestFit="1" customWidth="1"/>
  </cols>
  <sheetData>
    <row r="1" spans="1:7" ht="18" customHeight="1" x14ac:dyDescent="0.25">
      <c r="A1" s="40" t="s">
        <v>0</v>
      </c>
      <c r="B1" s="40"/>
      <c r="C1" s="40"/>
      <c r="D1" s="40"/>
      <c r="E1" s="40"/>
    </row>
    <row r="2" spans="1:7" x14ac:dyDescent="0.25">
      <c r="A2" s="37"/>
      <c r="B2" s="37"/>
      <c r="C2" s="37"/>
      <c r="D2" s="37"/>
      <c r="E2" s="37"/>
      <c r="F2" s="37"/>
    </row>
    <row r="3" spans="1:7" ht="15" customHeight="1" x14ac:dyDescent="0.25">
      <c r="A3" s="36" t="s">
        <v>1</v>
      </c>
      <c r="B3" s="36"/>
      <c r="C3" s="36"/>
      <c r="D3" s="36"/>
      <c r="E3" s="36"/>
    </row>
    <row r="4" spans="1:7" x14ac:dyDescent="0.25">
      <c r="A4" s="37"/>
      <c r="B4" s="37"/>
      <c r="C4" s="37"/>
      <c r="D4" s="37"/>
      <c r="E4" s="37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9210059</v>
      </c>
      <c r="C7" s="1"/>
      <c r="D7" s="2" t="s">
        <v>11</v>
      </c>
      <c r="E7" s="4">
        <v>43914</v>
      </c>
    </row>
    <row r="8" spans="1:7" x14ac:dyDescent="0.25">
      <c r="A8" s="2" t="s">
        <v>12</v>
      </c>
      <c r="B8" s="1" t="s">
        <v>13</v>
      </c>
      <c r="C8" s="1"/>
      <c r="D8" s="1"/>
      <c r="E8" s="1"/>
    </row>
    <row r="9" spans="1:7" ht="21" x14ac:dyDescent="0.35">
      <c r="A9" s="1"/>
      <c r="F9" s="23" t="s">
        <v>70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58</v>
      </c>
      <c r="C12" s="1"/>
      <c r="D12" s="2" t="s">
        <v>16</v>
      </c>
      <c r="E12" s="4">
        <v>43913</v>
      </c>
    </row>
    <row r="13" spans="1:7" x14ac:dyDescent="0.25">
      <c r="A13" s="2" t="s">
        <v>17</v>
      </c>
      <c r="B13" s="3">
        <v>30</v>
      </c>
      <c r="C13" s="1"/>
      <c r="D13" s="2" t="s">
        <v>18</v>
      </c>
      <c r="E13" s="4">
        <v>43914</v>
      </c>
    </row>
    <row r="14" spans="1:7" x14ac:dyDescent="0.25">
      <c r="A14" s="2" t="s">
        <v>19</v>
      </c>
      <c r="B14" s="4">
        <v>43913</v>
      </c>
      <c r="C14" s="1"/>
      <c r="D14" s="1"/>
      <c r="E14" s="1"/>
    </row>
    <row r="15" spans="1:7" ht="15" customHeight="1" x14ac:dyDescent="0.25">
      <c r="A15" s="36" t="s">
        <v>20</v>
      </c>
      <c r="B15" s="36"/>
      <c r="C15" s="36"/>
      <c r="D15" s="36"/>
      <c r="E15" s="36"/>
      <c r="F15" s="36"/>
      <c r="G15" s="36"/>
    </row>
    <row r="16" spans="1:7" ht="15.75" thickBot="1" x14ac:dyDescent="0.3">
      <c r="A16" s="37"/>
      <c r="B16" s="37"/>
      <c r="C16" s="37"/>
      <c r="D16" s="37"/>
      <c r="E16" s="37"/>
      <c r="F16" s="37"/>
      <c r="G16" s="37"/>
    </row>
    <row r="17" spans="1:8" x14ac:dyDescent="0.25">
      <c r="A17" s="41" t="s">
        <v>21</v>
      </c>
      <c r="B17" s="42"/>
      <c r="C17" s="42" t="s">
        <v>22</v>
      </c>
      <c r="D17" s="42" t="s">
        <v>23</v>
      </c>
      <c r="E17" s="42" t="s">
        <v>24</v>
      </c>
      <c r="F17" s="19" t="s">
        <v>25</v>
      </c>
      <c r="G17" s="19" t="s">
        <v>27</v>
      </c>
      <c r="H17" s="20" t="s">
        <v>68</v>
      </c>
    </row>
    <row r="18" spans="1:8" ht="15.75" thickBot="1" x14ac:dyDescent="0.3">
      <c r="A18" s="43"/>
      <c r="B18" s="44"/>
      <c r="C18" s="44"/>
      <c r="D18" s="44"/>
      <c r="E18" s="44"/>
      <c r="F18" s="21" t="s">
        <v>26</v>
      </c>
      <c r="G18" s="21" t="s">
        <v>28</v>
      </c>
      <c r="H18" s="22" t="s">
        <v>69</v>
      </c>
    </row>
    <row r="19" spans="1:8" ht="30" customHeight="1" x14ac:dyDescent="0.25">
      <c r="A19" s="39" t="s">
        <v>29</v>
      </c>
      <c r="B19" s="39"/>
      <c r="C19" s="16" t="s">
        <v>30</v>
      </c>
      <c r="D19" s="16" t="s">
        <v>49</v>
      </c>
      <c r="E19" s="30" t="s">
        <v>75</v>
      </c>
      <c r="F19" s="17">
        <v>0</v>
      </c>
      <c r="G19" s="28">
        <v>22991</v>
      </c>
      <c r="H19" s="18"/>
    </row>
    <row r="20" spans="1:8" ht="30" customHeight="1" x14ac:dyDescent="0.25">
      <c r="A20" s="38" t="s">
        <v>29</v>
      </c>
      <c r="B20" s="38"/>
      <c r="C20" s="6" t="s">
        <v>30</v>
      </c>
      <c r="D20" s="6" t="s">
        <v>49</v>
      </c>
      <c r="E20" s="30" t="s">
        <v>75</v>
      </c>
      <c r="F20" s="7">
        <v>0</v>
      </c>
      <c r="G20" s="25">
        <v>248223</v>
      </c>
      <c r="H20" s="9"/>
    </row>
    <row r="21" spans="1:8" ht="30" customHeight="1" x14ac:dyDescent="0.25">
      <c r="A21" s="38" t="s">
        <v>29</v>
      </c>
      <c r="B21" s="38"/>
      <c r="C21" s="6" t="s">
        <v>30</v>
      </c>
      <c r="D21" s="6" t="s">
        <v>49</v>
      </c>
      <c r="E21" s="30" t="s">
        <v>75</v>
      </c>
      <c r="F21" s="7">
        <v>0</v>
      </c>
      <c r="G21" s="25">
        <v>274412</v>
      </c>
      <c r="H21" s="9"/>
    </row>
    <row r="22" spans="1:8" ht="30" customHeight="1" x14ac:dyDescent="0.25">
      <c r="A22" s="38" t="s">
        <v>29</v>
      </c>
      <c r="B22" s="38"/>
      <c r="C22" s="6" t="s">
        <v>30</v>
      </c>
      <c r="D22" s="6" t="s">
        <v>49</v>
      </c>
      <c r="E22" s="30" t="s">
        <v>75</v>
      </c>
      <c r="F22" s="7">
        <v>0</v>
      </c>
      <c r="G22" s="25">
        <v>839310</v>
      </c>
      <c r="H22" s="9"/>
    </row>
    <row r="23" spans="1:8" ht="30" customHeight="1" x14ac:dyDescent="0.25">
      <c r="A23" s="38" t="s">
        <v>29</v>
      </c>
      <c r="B23" s="38"/>
      <c r="C23" s="6" t="s">
        <v>30</v>
      </c>
      <c r="D23" s="6" t="s">
        <v>49</v>
      </c>
      <c r="E23" s="30" t="s">
        <v>75</v>
      </c>
      <c r="F23" s="7">
        <v>0</v>
      </c>
      <c r="G23" s="25">
        <v>3741934</v>
      </c>
      <c r="H23" s="9"/>
    </row>
    <row r="24" spans="1:8" ht="30" customHeight="1" x14ac:dyDescent="0.25">
      <c r="A24" s="38" t="s">
        <v>29</v>
      </c>
      <c r="B24" s="38"/>
      <c r="C24" s="6" t="s">
        <v>30</v>
      </c>
      <c r="D24" s="6" t="s">
        <v>49</v>
      </c>
      <c r="E24" s="30" t="s">
        <v>75</v>
      </c>
      <c r="F24" s="7">
        <v>0</v>
      </c>
      <c r="G24" s="25">
        <v>4494708</v>
      </c>
      <c r="H24" s="9"/>
    </row>
    <row r="25" spans="1:8" ht="30" customHeight="1" x14ac:dyDescent="0.25">
      <c r="A25" s="38" t="s">
        <v>29</v>
      </c>
      <c r="B25" s="38"/>
      <c r="C25" s="6" t="s">
        <v>30</v>
      </c>
      <c r="D25" s="6" t="s">
        <v>49</v>
      </c>
      <c r="E25" s="30" t="s">
        <v>75</v>
      </c>
      <c r="F25" s="7">
        <v>0</v>
      </c>
      <c r="G25" s="31">
        <v>12547050</v>
      </c>
      <c r="H25" s="9"/>
    </row>
    <row r="26" spans="1:8" ht="18.75" customHeight="1" thickBot="1" x14ac:dyDescent="0.3">
      <c r="A26" s="32"/>
      <c r="B26" s="32"/>
      <c r="C26" s="32"/>
      <c r="D26" s="32"/>
      <c r="E26" s="30"/>
      <c r="F26" s="7" t="s">
        <v>77</v>
      </c>
      <c r="G26" s="31">
        <f>SUM(G19:G25)</f>
        <v>22168628</v>
      </c>
      <c r="H26" s="9"/>
    </row>
    <row r="27" spans="1:8" ht="30" customHeight="1" thickBot="1" x14ac:dyDescent="0.3">
      <c r="A27" s="38" t="s">
        <v>29</v>
      </c>
      <c r="B27" s="38"/>
      <c r="C27" s="6" t="s">
        <v>30</v>
      </c>
      <c r="D27" s="6" t="s">
        <v>50</v>
      </c>
      <c r="E27" s="24" t="s">
        <v>76</v>
      </c>
      <c r="F27" s="26">
        <v>0</v>
      </c>
      <c r="G27" s="27">
        <v>26739</v>
      </c>
      <c r="H27" s="34"/>
    </row>
    <row r="28" spans="1:8" ht="30" customHeight="1" thickBot="1" x14ac:dyDescent="0.3">
      <c r="A28" s="38" t="s">
        <v>29</v>
      </c>
      <c r="B28" s="38"/>
      <c r="C28" s="6" t="s">
        <v>30</v>
      </c>
      <c r="D28" s="6" t="s">
        <v>54</v>
      </c>
      <c r="E28" s="24" t="s">
        <v>55</v>
      </c>
      <c r="F28" s="26">
        <v>0</v>
      </c>
      <c r="G28" s="27">
        <v>270515</v>
      </c>
      <c r="H28" s="33">
        <v>1258</v>
      </c>
    </row>
    <row r="29" spans="1:8" ht="30" customHeight="1" thickBot="1" x14ac:dyDescent="0.3">
      <c r="A29" s="38" t="s">
        <v>29</v>
      </c>
      <c r="B29" s="38"/>
      <c r="C29" s="6" t="s">
        <v>30</v>
      </c>
      <c r="D29" s="6" t="s">
        <v>51</v>
      </c>
      <c r="E29" s="24" t="s">
        <v>71</v>
      </c>
      <c r="F29" s="26">
        <v>0</v>
      </c>
      <c r="G29" s="27">
        <v>60526</v>
      </c>
      <c r="H29" s="33">
        <v>1259</v>
      </c>
    </row>
    <row r="30" spans="1:8" ht="30" customHeight="1" thickBot="1" x14ac:dyDescent="0.3">
      <c r="A30" s="38" t="s">
        <v>29</v>
      </c>
      <c r="B30" s="38"/>
      <c r="C30" s="6" t="s">
        <v>30</v>
      </c>
      <c r="D30" s="6" t="s">
        <v>47</v>
      </c>
      <c r="E30" s="24" t="s">
        <v>72</v>
      </c>
      <c r="F30" s="26">
        <v>0</v>
      </c>
      <c r="G30" s="29">
        <v>715</v>
      </c>
      <c r="H30" s="33">
        <v>1260</v>
      </c>
    </row>
    <row r="31" spans="1:8" ht="30" customHeight="1" thickBot="1" x14ac:dyDescent="0.3">
      <c r="A31" s="38" t="s">
        <v>29</v>
      </c>
      <c r="B31" s="38"/>
      <c r="C31" s="6" t="s">
        <v>30</v>
      </c>
      <c r="D31" s="6" t="s">
        <v>48</v>
      </c>
      <c r="E31" s="24" t="s">
        <v>73</v>
      </c>
      <c r="F31" s="26">
        <v>0</v>
      </c>
      <c r="G31" s="27">
        <v>15869</v>
      </c>
      <c r="H31" s="33">
        <v>1261</v>
      </c>
    </row>
    <row r="32" spans="1:8" ht="30" customHeight="1" thickBot="1" x14ac:dyDescent="0.3">
      <c r="A32" s="38" t="s">
        <v>29</v>
      </c>
      <c r="B32" s="38"/>
      <c r="C32" s="6" t="s">
        <v>56</v>
      </c>
      <c r="D32" s="6" t="s">
        <v>57</v>
      </c>
      <c r="E32" s="24" t="s">
        <v>74</v>
      </c>
      <c r="F32" s="26">
        <v>0</v>
      </c>
      <c r="G32" s="27">
        <v>821484</v>
      </c>
      <c r="H32" s="33">
        <v>1262</v>
      </c>
    </row>
    <row r="33" spans="1:8" ht="30" customHeight="1" thickBot="1" x14ac:dyDescent="0.3">
      <c r="A33" s="38" t="s">
        <v>29</v>
      </c>
      <c r="B33" s="38"/>
      <c r="C33" s="6" t="s">
        <v>30</v>
      </c>
      <c r="D33" s="6" t="s">
        <v>52</v>
      </c>
      <c r="E33" s="24" t="s">
        <v>53</v>
      </c>
      <c r="F33" s="26">
        <v>0</v>
      </c>
      <c r="G33" s="27">
        <v>101321</v>
      </c>
      <c r="H33" s="33">
        <v>1263</v>
      </c>
    </row>
    <row r="34" spans="1:8" ht="30" customHeight="1" x14ac:dyDescent="0.25">
      <c r="A34" s="38" t="s">
        <v>29</v>
      </c>
      <c r="B34" s="38"/>
      <c r="C34" s="6" t="s">
        <v>30</v>
      </c>
      <c r="D34" s="6" t="s">
        <v>42</v>
      </c>
      <c r="E34" s="6" t="s">
        <v>32</v>
      </c>
      <c r="F34" s="8">
        <v>307606</v>
      </c>
      <c r="G34" s="17">
        <v>0</v>
      </c>
      <c r="H34" s="9"/>
    </row>
    <row r="35" spans="1:8" ht="30" customHeight="1" x14ac:dyDescent="0.25">
      <c r="A35" s="38" t="s">
        <v>29</v>
      </c>
      <c r="B35" s="38"/>
      <c r="C35" s="6" t="s">
        <v>30</v>
      </c>
      <c r="D35" s="6" t="s">
        <v>41</v>
      </c>
      <c r="E35" s="6" t="s">
        <v>32</v>
      </c>
      <c r="F35" s="8">
        <v>193819</v>
      </c>
      <c r="G35" s="7">
        <v>0</v>
      </c>
      <c r="H35" s="9"/>
    </row>
    <row r="36" spans="1:8" ht="30" customHeight="1" x14ac:dyDescent="0.25">
      <c r="A36" s="38" t="s">
        <v>29</v>
      </c>
      <c r="B36" s="38"/>
      <c r="C36" s="6" t="s">
        <v>30</v>
      </c>
      <c r="D36" s="6" t="s">
        <v>40</v>
      </c>
      <c r="E36" s="6" t="s">
        <v>32</v>
      </c>
      <c r="F36" s="8">
        <v>193818</v>
      </c>
      <c r="G36" s="7">
        <v>0</v>
      </c>
      <c r="H36" s="9"/>
    </row>
    <row r="37" spans="1:8" ht="30" customHeight="1" x14ac:dyDescent="0.25">
      <c r="A37" s="38" t="s">
        <v>29</v>
      </c>
      <c r="B37" s="38"/>
      <c r="C37" s="6" t="s">
        <v>30</v>
      </c>
      <c r="D37" s="6" t="s">
        <v>34</v>
      </c>
      <c r="E37" s="6" t="s">
        <v>32</v>
      </c>
      <c r="F37" s="8">
        <v>104202</v>
      </c>
      <c r="G37" s="7">
        <v>0</v>
      </c>
      <c r="H37" s="9"/>
    </row>
    <row r="38" spans="1:8" ht="30" customHeight="1" x14ac:dyDescent="0.25">
      <c r="A38" s="38" t="s">
        <v>29</v>
      </c>
      <c r="B38" s="38"/>
      <c r="C38" s="6" t="s">
        <v>30</v>
      </c>
      <c r="D38" s="6" t="s">
        <v>43</v>
      </c>
      <c r="E38" s="6" t="s">
        <v>32</v>
      </c>
      <c r="F38" s="8">
        <v>439621</v>
      </c>
      <c r="G38" s="7">
        <v>0</v>
      </c>
      <c r="H38" s="9"/>
    </row>
    <row r="39" spans="1:8" ht="30" customHeight="1" x14ac:dyDescent="0.25">
      <c r="A39" s="38" t="s">
        <v>29</v>
      </c>
      <c r="B39" s="38"/>
      <c r="C39" s="6" t="s">
        <v>30</v>
      </c>
      <c r="D39" s="6" t="s">
        <v>38</v>
      </c>
      <c r="E39" s="6" t="s">
        <v>32</v>
      </c>
      <c r="F39" s="8">
        <v>186680</v>
      </c>
      <c r="G39" s="7">
        <v>0</v>
      </c>
      <c r="H39" s="9"/>
    </row>
    <row r="40" spans="1:8" ht="30" customHeight="1" x14ac:dyDescent="0.25">
      <c r="A40" s="38" t="s">
        <v>29</v>
      </c>
      <c r="B40" s="38"/>
      <c r="C40" s="6" t="s">
        <v>30</v>
      </c>
      <c r="D40" s="6" t="s">
        <v>44</v>
      </c>
      <c r="E40" s="6" t="s">
        <v>32</v>
      </c>
      <c r="F40" s="8">
        <v>3821210</v>
      </c>
      <c r="G40" s="7">
        <v>0</v>
      </c>
      <c r="H40" s="9"/>
    </row>
    <row r="41" spans="1:8" ht="30" customHeight="1" x14ac:dyDescent="0.25">
      <c r="A41" s="38" t="s">
        <v>29</v>
      </c>
      <c r="B41" s="38"/>
      <c r="C41" s="6" t="s">
        <v>30</v>
      </c>
      <c r="D41" s="6" t="s">
        <v>31</v>
      </c>
      <c r="E41" s="6" t="s">
        <v>32</v>
      </c>
      <c r="F41" s="8">
        <v>49366</v>
      </c>
      <c r="G41" s="7">
        <v>0</v>
      </c>
      <c r="H41" s="9"/>
    </row>
    <row r="42" spans="1:8" ht="30" customHeight="1" x14ac:dyDescent="0.25">
      <c r="A42" s="38" t="s">
        <v>29</v>
      </c>
      <c r="B42" s="38"/>
      <c r="C42" s="6" t="s">
        <v>30</v>
      </c>
      <c r="D42" s="6" t="s">
        <v>39</v>
      </c>
      <c r="E42" s="6" t="s">
        <v>32</v>
      </c>
      <c r="F42" s="8">
        <v>186680</v>
      </c>
      <c r="G42" s="7">
        <v>0</v>
      </c>
      <c r="H42" s="9"/>
    </row>
    <row r="43" spans="1:8" ht="30" customHeight="1" x14ac:dyDescent="0.25">
      <c r="A43" s="38" t="s">
        <v>29</v>
      </c>
      <c r="B43" s="38"/>
      <c r="C43" s="6" t="s">
        <v>30</v>
      </c>
      <c r="D43" s="6" t="s">
        <v>37</v>
      </c>
      <c r="E43" s="6" t="s">
        <v>32</v>
      </c>
      <c r="F43" s="8">
        <v>186680</v>
      </c>
      <c r="G43" s="7">
        <v>0</v>
      </c>
      <c r="H43" s="9"/>
    </row>
    <row r="44" spans="1:8" ht="30" customHeight="1" x14ac:dyDescent="0.25">
      <c r="A44" s="38" t="s">
        <v>29</v>
      </c>
      <c r="B44" s="38"/>
      <c r="C44" s="6" t="s">
        <v>30</v>
      </c>
      <c r="D44" s="6" t="s">
        <v>36</v>
      </c>
      <c r="E44" s="6" t="s">
        <v>32</v>
      </c>
      <c r="F44" s="8">
        <v>174124</v>
      </c>
      <c r="G44" s="7">
        <v>0</v>
      </c>
      <c r="H44" s="9"/>
    </row>
    <row r="45" spans="1:8" ht="30" customHeight="1" x14ac:dyDescent="0.25">
      <c r="A45" s="38" t="s">
        <v>29</v>
      </c>
      <c r="B45" s="38"/>
      <c r="C45" s="6" t="s">
        <v>30</v>
      </c>
      <c r="D45" s="6" t="s">
        <v>35</v>
      </c>
      <c r="E45" s="6" t="s">
        <v>32</v>
      </c>
      <c r="F45" s="8">
        <v>163561</v>
      </c>
      <c r="G45" s="7">
        <v>0</v>
      </c>
      <c r="H45" s="9"/>
    </row>
    <row r="46" spans="1:8" ht="30" customHeight="1" x14ac:dyDescent="0.25">
      <c r="A46" s="38" t="s">
        <v>29</v>
      </c>
      <c r="B46" s="38"/>
      <c r="C46" s="6" t="s">
        <v>30</v>
      </c>
      <c r="D46" s="6" t="s">
        <v>33</v>
      </c>
      <c r="E46" s="6" t="s">
        <v>32</v>
      </c>
      <c r="F46" s="8">
        <v>53359</v>
      </c>
      <c r="G46" s="7">
        <v>0</v>
      </c>
      <c r="H46" s="9"/>
    </row>
    <row r="47" spans="1:8" ht="30" customHeight="1" x14ac:dyDescent="0.25">
      <c r="A47" s="38" t="s">
        <v>29</v>
      </c>
      <c r="B47" s="38"/>
      <c r="C47" s="6" t="s">
        <v>30</v>
      </c>
      <c r="D47" s="6" t="s">
        <v>45</v>
      </c>
      <c r="E47" s="6" t="s">
        <v>46</v>
      </c>
      <c r="F47" s="8">
        <v>94628800</v>
      </c>
      <c r="G47" s="7">
        <v>0</v>
      </c>
      <c r="H47" s="9"/>
    </row>
    <row r="48" spans="1:8" ht="30" customHeight="1" x14ac:dyDescent="0.25">
      <c r="A48" s="38" t="s">
        <v>58</v>
      </c>
      <c r="B48" s="38"/>
      <c r="C48" s="6" t="s">
        <v>30</v>
      </c>
      <c r="D48" s="6" t="s">
        <v>59</v>
      </c>
      <c r="E48" s="6" t="s">
        <v>32</v>
      </c>
      <c r="F48" s="8">
        <v>412513</v>
      </c>
      <c r="G48" s="7">
        <v>0</v>
      </c>
      <c r="H48" s="9"/>
    </row>
    <row r="49" spans="1:8" ht="30" customHeight="1" x14ac:dyDescent="0.25">
      <c r="A49" s="38" t="s">
        <v>58</v>
      </c>
      <c r="B49" s="38"/>
      <c r="C49" s="6" t="s">
        <v>30</v>
      </c>
      <c r="D49" s="6" t="s">
        <v>60</v>
      </c>
      <c r="E49" s="6" t="s">
        <v>32</v>
      </c>
      <c r="F49" s="8">
        <v>570030</v>
      </c>
      <c r="G49" s="7">
        <v>0</v>
      </c>
      <c r="H49" s="9"/>
    </row>
    <row r="50" spans="1:8" ht="15.75" customHeight="1" x14ac:dyDescent="0.25">
      <c r="A50" s="10"/>
      <c r="B50" s="10"/>
      <c r="C50" s="10"/>
      <c r="D50" s="10"/>
      <c r="E50" s="10"/>
      <c r="F50" s="11"/>
      <c r="G50" s="8">
        <f>G26+G27+G28+G29+G30+G31+G32+G33</f>
        <v>23465797</v>
      </c>
      <c r="H50" s="12"/>
    </row>
    <row r="51" spans="1:8" x14ac:dyDescent="0.25">
      <c r="A51" s="35"/>
      <c r="B51" s="35"/>
      <c r="C51" s="35"/>
      <c r="D51" s="35"/>
      <c r="E51" s="35"/>
      <c r="F51" s="35"/>
      <c r="G51" s="35"/>
    </row>
    <row r="52" spans="1:8" x14ac:dyDescent="0.25">
      <c r="A52" s="37"/>
      <c r="B52" s="37"/>
      <c r="C52" s="37"/>
      <c r="D52" s="37"/>
      <c r="E52" s="37"/>
      <c r="F52" s="37"/>
      <c r="G52" s="37"/>
    </row>
    <row r="53" spans="1:8" ht="15" customHeight="1" x14ac:dyDescent="0.25">
      <c r="A53" s="36" t="s">
        <v>61</v>
      </c>
      <c r="B53" s="36"/>
      <c r="C53" s="36"/>
      <c r="D53" s="36"/>
      <c r="E53" s="36"/>
      <c r="F53" s="36"/>
      <c r="G53" s="36"/>
    </row>
    <row r="54" spans="1:8" x14ac:dyDescent="0.25">
      <c r="A54" s="37"/>
      <c r="B54" s="37"/>
      <c r="C54" s="37"/>
      <c r="D54" s="37"/>
      <c r="E54" s="37"/>
      <c r="F54" s="37"/>
      <c r="G54" s="37"/>
    </row>
    <row r="55" spans="1:8" x14ac:dyDescent="0.25">
      <c r="A55" s="6" t="s">
        <v>62</v>
      </c>
      <c r="B55" s="13">
        <v>4984857276</v>
      </c>
      <c r="C55" s="9"/>
    </row>
    <row r="56" spans="1:8" x14ac:dyDescent="0.25">
      <c r="A56" s="6" t="s">
        <v>63</v>
      </c>
      <c r="B56" s="14">
        <v>0</v>
      </c>
      <c r="C56" s="9"/>
    </row>
    <row r="57" spans="1:8" x14ac:dyDescent="0.25">
      <c r="A57" s="6" t="s">
        <v>64</v>
      </c>
      <c r="B57" s="13">
        <v>101672069</v>
      </c>
      <c r="C57" s="9"/>
    </row>
    <row r="58" spans="1:8" x14ac:dyDescent="0.25">
      <c r="A58" s="6" t="s">
        <v>65</v>
      </c>
      <c r="B58" s="13">
        <v>821484</v>
      </c>
      <c r="C58" s="15">
        <f>B58+B59</f>
        <v>23465797</v>
      </c>
    </row>
    <row r="59" spans="1:8" x14ac:dyDescent="0.25">
      <c r="A59" s="6" t="s">
        <v>66</v>
      </c>
      <c r="B59" s="13">
        <v>22644313</v>
      </c>
      <c r="C59" s="9"/>
    </row>
    <row r="60" spans="1:8" x14ac:dyDescent="0.25">
      <c r="A60" s="6" t="s">
        <v>67</v>
      </c>
      <c r="B60" s="8">
        <v>4906651004</v>
      </c>
      <c r="C60" s="9"/>
    </row>
    <row r="61" spans="1:8" x14ac:dyDescent="0.25">
      <c r="A61" s="5"/>
    </row>
    <row r="62" spans="1:8" x14ac:dyDescent="0.25">
      <c r="A62" s="5"/>
    </row>
    <row r="63" spans="1:8" x14ac:dyDescent="0.25">
      <c r="A63" s="5"/>
    </row>
  </sheetData>
  <sortState xmlns:xlrd2="http://schemas.microsoft.com/office/spreadsheetml/2017/richdata2" ref="C19:G47">
    <sortCondition ref="D19:D47"/>
  </sortState>
  <mergeCells count="44">
    <mergeCell ref="A1:E1"/>
    <mergeCell ref="A2:F2"/>
    <mergeCell ref="A17:B18"/>
    <mergeCell ref="C17:C18"/>
    <mergeCell ref="D17:D18"/>
    <mergeCell ref="E17:E18"/>
    <mergeCell ref="A21:B21"/>
    <mergeCell ref="A22:B22"/>
    <mergeCell ref="A23:B23"/>
    <mergeCell ref="A24:B24"/>
    <mergeCell ref="A3:E3"/>
    <mergeCell ref="A4:E4"/>
    <mergeCell ref="A54:G54"/>
    <mergeCell ref="A45:B45"/>
    <mergeCell ref="A46:B46"/>
    <mergeCell ref="A28:B28"/>
    <mergeCell ref="A47:B47"/>
    <mergeCell ref="A48:B48"/>
    <mergeCell ref="A49:B49"/>
    <mergeCell ref="A39:B39"/>
    <mergeCell ref="A40:B40"/>
    <mergeCell ref="A41:B41"/>
    <mergeCell ref="A42:B42"/>
    <mergeCell ref="A43:B43"/>
    <mergeCell ref="A44:B44"/>
    <mergeCell ref="A33:B33"/>
    <mergeCell ref="A34:B34"/>
    <mergeCell ref="A35:B35"/>
    <mergeCell ref="A51:G51"/>
    <mergeCell ref="A15:G15"/>
    <mergeCell ref="A16:G16"/>
    <mergeCell ref="A52:G52"/>
    <mergeCell ref="A53:G53"/>
    <mergeCell ref="A36:B36"/>
    <mergeCell ref="A37:B37"/>
    <mergeCell ref="A38:B38"/>
    <mergeCell ref="A25:B25"/>
    <mergeCell ref="A27:B27"/>
    <mergeCell ref="A29:B29"/>
    <mergeCell ref="A30:B30"/>
    <mergeCell ref="A31:B31"/>
    <mergeCell ref="A32:B32"/>
    <mergeCell ref="A19:B19"/>
    <mergeCell ref="A20:B20"/>
  </mergeCells>
  <pageMargins left="0.75" right="0.75" top="1" bottom="1" header="0.5" footer="0.5"/>
  <pageSetup scale="64" fitToHeight="0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9210059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2020-03-31T15:42:29Z</cp:lastPrinted>
  <dcterms:created xsi:type="dcterms:W3CDTF">2020-03-24T15:12:51Z</dcterms:created>
  <dcterms:modified xsi:type="dcterms:W3CDTF">2020-04-02T15:06:18Z</dcterms:modified>
</cp:coreProperties>
</file>