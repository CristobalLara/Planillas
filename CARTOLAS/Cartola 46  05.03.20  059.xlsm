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bahamondes\Documents\COBRANZAS 2020\CARTOLAS\"/>
    </mc:Choice>
  </mc:AlternateContent>
  <xr:revisionPtr revIDLastSave="0" documentId="8_{0B9D444F-E103-4249-8434-8A0284A9E089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9210059" sheetId="2" r:id="rId1"/>
    <sheet name="9210920" sheetId="3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60" i="2" l="1"/>
  <c r="G40" i="2"/>
  <c r="G36" i="2"/>
  <c r="G33" i="2"/>
  <c r="G65" i="2" l="1"/>
  <c r="C35" i="3"/>
  <c r="G22" i="3"/>
  <c r="C73" i="2"/>
</calcChain>
</file>

<file path=xl/sharedStrings.xml><?xml version="1.0" encoding="utf-8"?>
<sst xmlns="http://schemas.openxmlformats.org/spreadsheetml/2006/main" count="262" uniqueCount="121">
  <si>
    <t>Cartola Histórica de Cuenta Corriente</t>
  </si>
  <si>
    <r>
      <t>Datos del cliente:</t>
    </r>
    <r>
      <rPr>
        <sz val="11"/>
        <color theme="1"/>
        <rFont val="Calibri"/>
        <family val="2"/>
        <scheme val="minor"/>
      </rPr>
      <t xml:space="preserve"> </t>
    </r>
  </si>
  <si>
    <t>Razón Social:</t>
  </si>
  <si>
    <t>CENABAST</t>
  </si>
  <si>
    <t>Usuario:</t>
  </si>
  <si>
    <t>LUIS PABLO ANDRADE NAVARRO</t>
  </si>
  <si>
    <t>Rut:</t>
  </si>
  <si>
    <t>61608700-2</t>
  </si>
  <si>
    <t>Rol:</t>
  </si>
  <si>
    <t>USU</t>
  </si>
  <si>
    <t>Cuenta:</t>
  </si>
  <si>
    <t>Fecha:</t>
  </si>
  <si>
    <t>Nombre Cuenta:</t>
  </si>
  <si>
    <t>SNS CENTRAL DE ABASTECIMIENTO</t>
  </si>
  <si>
    <t>Datos de la cartola:</t>
  </si>
  <si>
    <t>Nº Cartola:</t>
  </si>
  <si>
    <t>Fecha Inicio:</t>
  </si>
  <si>
    <t>Nº Movimientos:</t>
  </si>
  <si>
    <t>Fecha Final:</t>
  </si>
  <si>
    <t>Fecha Emisión:</t>
  </si>
  <si>
    <t>Movimientos:</t>
  </si>
  <si>
    <t>Fecha</t>
  </si>
  <si>
    <t>Sucursal</t>
  </si>
  <si>
    <t>N° Operación</t>
  </si>
  <si>
    <t>Descripción</t>
  </si>
  <si>
    <t>Cheques/</t>
  </si>
  <si>
    <t>Cargos $</t>
  </si>
  <si>
    <t>Depósitos/</t>
  </si>
  <si>
    <t>Abonos $</t>
  </si>
  <si>
    <t>05-03-2020  </t>
  </si>
  <si>
    <t>STGO.PRINCIPAL </t>
  </si>
  <si>
    <t>7125752 </t>
  </si>
  <si>
    <t>CARGO TRANSFERENCIA PAG ALTO VALOR INTERN</t>
  </si>
  <si>
    <t>0214989 </t>
  </si>
  <si>
    <t>0205351 </t>
  </si>
  <si>
    <t>0206985 </t>
  </si>
  <si>
    <t>0215037 </t>
  </si>
  <si>
    <t>0208035 </t>
  </si>
  <si>
    <t>LOS ANGELES </t>
  </si>
  <si>
    <t>2503900 </t>
  </si>
  <si>
    <t>2503980 </t>
  </si>
  <si>
    <t>2503860 </t>
  </si>
  <si>
    <t>0204158 </t>
  </si>
  <si>
    <t>0201741 </t>
  </si>
  <si>
    <t>PICA </t>
  </si>
  <si>
    <t>0001782 </t>
  </si>
  <si>
    <t>PAGO DE CHEQUE CON DEPOSITO CUENTA CORRIENTE</t>
  </si>
  <si>
    <t>0202911 </t>
  </si>
  <si>
    <t>0201794 </t>
  </si>
  <si>
    <t>0211317 </t>
  </si>
  <si>
    <t>0203072 </t>
  </si>
  <si>
    <t>SERVI STA CRUZ </t>
  </si>
  <si>
    <t>4508060 </t>
  </si>
  <si>
    <t>CAUQUENES </t>
  </si>
  <si>
    <t>0000180 </t>
  </si>
  <si>
    <t>0203069 </t>
  </si>
  <si>
    <t>0201714 </t>
  </si>
  <si>
    <t>PAINE </t>
  </si>
  <si>
    <t>2109770 </t>
  </si>
  <si>
    <t>2503920 </t>
  </si>
  <si>
    <t>0206535 </t>
  </si>
  <si>
    <t>2503820 </t>
  </si>
  <si>
    <t>0202446 </t>
  </si>
  <si>
    <t>1800255 </t>
  </si>
  <si>
    <t>2503960 </t>
  </si>
  <si>
    <t>2503880 </t>
  </si>
  <si>
    <t>2503940 </t>
  </si>
  <si>
    <t>RIO BUENO </t>
  </si>
  <si>
    <t>7506560 </t>
  </si>
  <si>
    <t>2504020 </t>
  </si>
  <si>
    <t>2504000 </t>
  </si>
  <si>
    <t>0204797 </t>
  </si>
  <si>
    <t>2504040 </t>
  </si>
  <si>
    <t>2503840 </t>
  </si>
  <si>
    <t>2503800 </t>
  </si>
  <si>
    <t>2503780 </t>
  </si>
  <si>
    <t>06-03-2020  </t>
  </si>
  <si>
    <t>7046837 </t>
  </si>
  <si>
    <t>TRANSFERENCIA BANCOESTADO DE I MUNICIPALIDAD DE CARTAGENA</t>
  </si>
  <si>
    <t>Resumen:</t>
  </si>
  <si>
    <t>Saldo Anterior $</t>
  </si>
  <si>
    <t>Total Cheques $</t>
  </si>
  <si>
    <t>Total Cargos $</t>
  </si>
  <si>
    <t>Total Depósitos $</t>
  </si>
  <si>
    <t>Total Abonos $</t>
  </si>
  <si>
    <t>Saldo Final $</t>
  </si>
  <si>
    <t>CENTRAL DE ABASTECIMIENTOS SNS EQUIP Y</t>
  </si>
  <si>
    <t>0203302 </t>
  </si>
  <si>
    <t>0203286 </t>
  </si>
  <si>
    <t>0204144 </t>
  </si>
  <si>
    <t>Numeros</t>
  </si>
  <si>
    <t>Ingresos</t>
  </si>
  <si>
    <t>12 Comprobantes</t>
  </si>
  <si>
    <t>12  Comprobantes</t>
  </si>
  <si>
    <t>DEPOSITO CON DOCUMENTOS MUNICIPALIDAD DE CAUQUENES</t>
  </si>
  <si>
    <t>ABONO PAGO A PROVEEDORES SERVICIO DE SALUD DE TALCAHUANO</t>
  </si>
  <si>
    <t>ABONO PAGO A PROVEEDORES HOSPITAL SANTIAGO ORIENTE DR. LUIS TISNE B.</t>
  </si>
  <si>
    <t>ABONO PAGO A PROVEEDORES HOSPITAL DE PEUMO</t>
  </si>
  <si>
    <t>ABONO PAGO A PROVEEDORES SERVICIO DE SALUD DE VALDIVIA</t>
  </si>
  <si>
    <t>ABONO PAGO A PROVEEDORES HOSPITAL DE PUERTO SAAVEDRA</t>
  </si>
  <si>
    <t>ABONO PAGO A PROVEEDORES HOSPITAL DE CUNCO</t>
  </si>
  <si>
    <t>ABONO PAGO A PROVEEDORES HOSPITAL DE NUEVA IMPERIAL</t>
  </si>
  <si>
    <t>ABONO PAGO A PROVEEDORES HOSPITAL DE CABILDO</t>
  </si>
  <si>
    <t>ABONO PAGO A PROVEEDORES SERVICIO DE SALUD DE CONCEPCION</t>
  </si>
  <si>
    <t>ABONO PAGO A PROVEEDORES HOSPITAL DEL SALVADOR</t>
  </si>
  <si>
    <t>ABONO PAGO A PROVEEDORES HOSPITAL DE TOME</t>
  </si>
  <si>
    <t>TOTAL</t>
  </si>
  <si>
    <t>ABONO PAGO A PROVEEDORES HOSPITAL DE GRANEROS</t>
  </si>
  <si>
    <t>ABONO PAGO A PROVEEDORES HOSPITAL DE SANTA CRUZ</t>
  </si>
  <si>
    <t>ABONO PAGO A PROVEEDORES HOSPITAL NAVAL ALM.NEF VIÑA DEL MAR</t>
  </si>
  <si>
    <t>ABONO PAGO A PROVEEDORES HOSPITAL DE CURACAVI</t>
  </si>
  <si>
    <t>ABONO PAGO A PROVEEDORES HOSPITAL DE NANCAGUA</t>
  </si>
  <si>
    <t>69.265.100-6 STGO.PRINCIPAL </t>
  </si>
  <si>
    <t>BANCO DE CREDITO E INVERSIONES MUNICIPALIDAD DE ALTO HOSPICIO</t>
  </si>
  <si>
    <t>DEPOSITO CON DOCUMENTOS MUNICIPALIDAD DE PAINE</t>
  </si>
  <si>
    <t>DEPOSITO CON DOCUMENTOS MUNICIPALIDAD DE LOS ANGELES</t>
  </si>
  <si>
    <t>DEPOSITO CON DOCUMENTOS HOSPITAL DE LOLOL</t>
  </si>
  <si>
    <t>DEPOSITO CON DOCUMENTOS MUNICIPALIDAD DE RIO BUENO</t>
  </si>
  <si>
    <t>ABONO PAGO A PROVEEDORES HOSPITAL DE LA SERENA</t>
  </si>
  <si>
    <t>ABONO PAGO A PROVEEDORES SERVICIO DE SOCIAL COQUIMBO</t>
  </si>
  <si>
    <t>ABONO PAGO A PROVEEDORES HOSPITAL DE OVALLE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</si>
</sst>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8"/>
      <color rgb="FF000000"/>
      <name val="Verdana"/>
      <family val="2"/>
    </font>
    <font>
      <b/>
      <u/>
      <sz val="8"/>
      <color rgb="FF000000"/>
      <name val="Calibri"/>
      <family val="2"/>
      <scheme val="minor"/>
    </font>
    <font>
      <sz val="14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0" fontId="16" fillId="0" borderId="0" xfId="0" applyFont="1" applyAlignment="1">
      <alignment wrapText="1"/>
    </xf>
    <xf numFmtId="0" fontId="0" fillId="0" borderId="0" xfId="0" applyAlignment="1">
      <alignment horizontal="left" wrapText="1"/>
    </xf>
    <xf numFmtId="14" fontId="0" fillId="0" borderId="0" xfId="0" applyNumberFormat="1" applyAlignment="1">
      <alignment horizontal="left" wrapText="1"/>
    </xf>
    <xf numFmtId="0" fontId="0" fillId="0" borderId="0" xfId="0" applyAlignment="1">
      <alignment wrapText="1"/>
    </xf>
    <xf numFmtId="3" fontId="21" fillId="0" borderId="0" xfId="0" applyNumberFormat="1" applyFont="1" applyAlignment="1">
      <alignment horizontal="right" wrapText="1"/>
    </xf>
    <xf numFmtId="0" fontId="21" fillId="0" borderId="0" xfId="0" applyFont="1" applyAlignment="1">
      <alignment horizontal="right" wrapText="1"/>
    </xf>
    <xf numFmtId="0" fontId="0" fillId="0" borderId="0" xfId="0" applyAlignment="1">
      <alignment horizontal="right" wrapText="1"/>
    </xf>
    <xf numFmtId="0" fontId="14" fillId="0" borderId="0" xfId="0" applyFont="1"/>
    <xf numFmtId="0" fontId="0" fillId="0" borderId="10" xfId="0" applyBorder="1" applyAlignment="1">
      <alignment wrapText="1"/>
    </xf>
    <xf numFmtId="3" fontId="0" fillId="0" borderId="10" xfId="0" applyNumberFormat="1" applyBorder="1" applyAlignment="1">
      <alignment horizontal="right" wrapText="1"/>
    </xf>
    <xf numFmtId="0" fontId="0" fillId="0" borderId="10" xfId="0" applyBorder="1"/>
    <xf numFmtId="0" fontId="0" fillId="0" borderId="10" xfId="0" applyBorder="1" applyAlignment="1">
      <alignment horizontal="right" wrapText="1"/>
    </xf>
    <xf numFmtId="3" fontId="0" fillId="0" borderId="10" xfId="0" applyNumberFormat="1" applyBorder="1"/>
    <xf numFmtId="3" fontId="21" fillId="0" borderId="10" xfId="0" applyNumberFormat="1" applyFont="1" applyBorder="1" applyAlignment="1">
      <alignment horizontal="right" wrapText="1"/>
    </xf>
    <xf numFmtId="0" fontId="0" fillId="0" borderId="11" xfId="0" applyBorder="1" applyAlignment="1">
      <alignment wrapText="1"/>
    </xf>
    <xf numFmtId="0" fontId="16" fillId="0" borderId="13" xfId="0" applyFont="1" applyBorder="1" applyAlignment="1">
      <alignment horizontal="right" vertical="top" wrapText="1"/>
    </xf>
    <xf numFmtId="0" fontId="16" fillId="0" borderId="14" xfId="0" applyFont="1" applyBorder="1"/>
    <xf numFmtId="0" fontId="16" fillId="0" borderId="16" xfId="0" applyFont="1" applyBorder="1" applyAlignment="1">
      <alignment horizontal="right" vertical="top" wrapText="1"/>
    </xf>
    <xf numFmtId="0" fontId="16" fillId="0" borderId="17" xfId="0" applyFont="1" applyBorder="1"/>
    <xf numFmtId="0" fontId="22" fillId="0" borderId="0" xfId="0" applyFont="1"/>
    <xf numFmtId="0" fontId="0" fillId="0" borderId="10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21" fillId="0" borderId="0" xfId="0" applyFont="1" applyBorder="1" applyAlignment="1">
      <alignment horizontal="right" vertical="center" wrapText="1"/>
    </xf>
    <xf numFmtId="0" fontId="0" fillId="0" borderId="0" xfId="0" applyBorder="1" applyAlignment="1">
      <alignment vertical="center"/>
    </xf>
    <xf numFmtId="0" fontId="0" fillId="0" borderId="11" xfId="0" applyBorder="1" applyAlignment="1">
      <alignment vertical="center" wrapText="1"/>
    </xf>
    <xf numFmtId="3" fontId="21" fillId="0" borderId="11" xfId="0" applyNumberFormat="1" applyFont="1" applyBorder="1" applyAlignment="1">
      <alignment horizontal="right" vertical="center" wrapText="1"/>
    </xf>
    <xf numFmtId="0" fontId="0" fillId="0" borderId="10" xfId="0" applyBorder="1" applyAlignment="1">
      <alignment wrapText="1"/>
    </xf>
    <xf numFmtId="0" fontId="0" fillId="0" borderId="11" xfId="0" applyBorder="1" applyAlignment="1">
      <alignment wrapText="1"/>
    </xf>
    <xf numFmtId="0" fontId="16" fillId="0" borderId="11" xfId="0" applyFont="1" applyBorder="1" applyAlignment="1">
      <alignment wrapText="1"/>
    </xf>
    <xf numFmtId="0" fontId="21" fillId="0" borderId="19" xfId="0" applyFont="1" applyBorder="1" applyAlignment="1">
      <alignment horizontal="right" wrapText="1"/>
    </xf>
    <xf numFmtId="3" fontId="23" fillId="0" borderId="18" xfId="0" applyNumberFormat="1" applyFont="1" applyBorder="1" applyAlignment="1">
      <alignment horizontal="right" wrapText="1"/>
    </xf>
    <xf numFmtId="0" fontId="16" fillId="0" borderId="10" xfId="0" applyFont="1" applyBorder="1" applyAlignment="1">
      <alignment wrapText="1"/>
    </xf>
    <xf numFmtId="0" fontId="0" fillId="0" borderId="21" xfId="0" applyBorder="1" applyAlignment="1">
      <alignment wrapText="1"/>
    </xf>
    <xf numFmtId="0" fontId="0" fillId="0" borderId="23" xfId="0" applyBorder="1" applyAlignment="1">
      <alignment wrapText="1"/>
    </xf>
    <xf numFmtId="0" fontId="16" fillId="0" borderId="23" xfId="0" applyFont="1" applyBorder="1" applyAlignment="1">
      <alignment wrapText="1"/>
    </xf>
    <xf numFmtId="0" fontId="21" fillId="0" borderId="24" xfId="0" applyFont="1" applyBorder="1" applyAlignment="1">
      <alignment horizontal="right" wrapText="1"/>
    </xf>
    <xf numFmtId="3" fontId="23" fillId="0" borderId="25" xfId="0" applyNumberFormat="1" applyFont="1" applyBorder="1" applyAlignment="1">
      <alignment horizontal="right" wrapText="1"/>
    </xf>
    <xf numFmtId="0" fontId="16" fillId="0" borderId="26" xfId="0" applyFont="1" applyBorder="1" applyAlignment="1">
      <alignment wrapText="1"/>
    </xf>
    <xf numFmtId="0" fontId="16" fillId="0" borderId="27" xfId="0" applyFont="1" applyBorder="1" applyAlignment="1">
      <alignment wrapText="1"/>
    </xf>
    <xf numFmtId="0" fontId="23" fillId="0" borderId="27" xfId="0" applyFont="1" applyBorder="1" applyAlignment="1">
      <alignment horizontal="right" wrapText="1"/>
    </xf>
    <xf numFmtId="3" fontId="23" fillId="0" borderId="28" xfId="0" applyNumberFormat="1" applyFont="1" applyBorder="1" applyAlignment="1">
      <alignment horizontal="right" wrapText="1"/>
    </xf>
    <xf numFmtId="0" fontId="21" fillId="0" borderId="21" xfId="0" applyFont="1" applyBorder="1" applyAlignment="1">
      <alignment horizontal="right" wrapText="1"/>
    </xf>
    <xf numFmtId="0" fontId="0" fillId="0" borderId="29" xfId="0" applyBorder="1" applyAlignment="1">
      <alignment wrapText="1"/>
    </xf>
    <xf numFmtId="0" fontId="16" fillId="0" borderId="29" xfId="0" applyFont="1" applyBorder="1" applyAlignment="1">
      <alignment wrapText="1"/>
    </xf>
    <xf numFmtId="0" fontId="21" fillId="0" borderId="30" xfId="0" applyFont="1" applyBorder="1" applyAlignment="1">
      <alignment horizontal="right" wrapText="1"/>
    </xf>
    <xf numFmtId="3" fontId="23" fillId="0" borderId="31" xfId="0" applyNumberFormat="1" applyFont="1" applyBorder="1" applyAlignment="1">
      <alignment horizontal="right" wrapText="1"/>
    </xf>
    <xf numFmtId="0" fontId="16" fillId="0" borderId="0" xfId="0" applyFont="1" applyBorder="1" applyAlignment="1">
      <alignment wrapText="1"/>
    </xf>
    <xf numFmtId="0" fontId="16" fillId="0" borderId="13" xfId="0" applyFont="1" applyBorder="1" applyAlignment="1">
      <alignment wrapText="1"/>
    </xf>
    <xf numFmtId="0" fontId="16" fillId="0" borderId="16" xfId="0" applyFont="1" applyBorder="1" applyAlignment="1">
      <alignment wrapText="1"/>
    </xf>
    <xf numFmtId="0" fontId="16" fillId="0" borderId="12" xfId="0" applyFont="1" applyBorder="1" applyAlignment="1">
      <alignment wrapText="1"/>
    </xf>
    <xf numFmtId="0" fontId="23" fillId="0" borderId="13" xfId="0" applyFont="1" applyBorder="1" applyAlignment="1">
      <alignment horizontal="right" wrapText="1"/>
    </xf>
    <xf numFmtId="3" fontId="23" fillId="0" borderId="14" xfId="0" applyNumberFormat="1" applyFont="1" applyBorder="1" applyAlignment="1">
      <alignment horizontal="right" wrapText="1"/>
    </xf>
    <xf numFmtId="0" fontId="16" fillId="0" borderId="15" xfId="0" applyFont="1" applyBorder="1" applyAlignment="1">
      <alignment wrapText="1"/>
    </xf>
    <xf numFmtId="0" fontId="23" fillId="0" borderId="16" xfId="0" applyFont="1" applyBorder="1" applyAlignment="1">
      <alignment horizontal="right" wrapText="1"/>
    </xf>
    <xf numFmtId="3" fontId="23" fillId="0" borderId="17" xfId="0" applyNumberFormat="1" applyFont="1" applyBorder="1" applyAlignment="1">
      <alignment horizontal="right" wrapText="1"/>
    </xf>
    <xf numFmtId="3" fontId="23" fillId="0" borderId="32" xfId="0" applyNumberFormat="1" applyFont="1" applyBorder="1" applyAlignment="1">
      <alignment horizontal="right" wrapText="1"/>
    </xf>
    <xf numFmtId="0" fontId="16" fillId="0" borderId="33" xfId="0" applyFont="1" applyBorder="1" applyAlignment="1">
      <alignment wrapText="1"/>
    </xf>
    <xf numFmtId="0" fontId="23" fillId="0" borderId="0" xfId="0" applyFont="1" applyBorder="1" applyAlignment="1">
      <alignment horizontal="right" wrapText="1"/>
    </xf>
    <xf numFmtId="3" fontId="23" fillId="0" borderId="34" xfId="0" applyNumberFormat="1" applyFont="1" applyBorder="1" applyAlignment="1">
      <alignment horizontal="right" wrapText="1"/>
    </xf>
    <xf numFmtId="0" fontId="21" fillId="0" borderId="23" xfId="0" applyFont="1" applyBorder="1" applyAlignment="1">
      <alignment horizontal="right" wrapText="1"/>
    </xf>
    <xf numFmtId="0" fontId="22" fillId="0" borderId="20" xfId="0" applyFont="1" applyBorder="1" applyAlignment="1">
      <alignment horizontal="center"/>
    </xf>
    <xf numFmtId="0" fontId="22" fillId="0" borderId="22" xfId="0" applyFont="1" applyBorder="1" applyAlignment="1">
      <alignment horizontal="center"/>
    </xf>
    <xf numFmtId="0" fontId="22" fillId="0" borderId="10" xfId="0" applyFont="1" applyBorder="1" applyAlignment="1">
      <alignment horizontal="center"/>
    </xf>
    <xf numFmtId="0" fontId="16" fillId="0" borderId="11" xfId="0" applyFont="1" applyBorder="1" applyAlignment="1">
      <alignment vertical="center" wrapText="1"/>
    </xf>
    <xf numFmtId="0" fontId="16" fillId="0" borderId="10" xfId="0" applyFont="1" applyBorder="1" applyAlignment="1">
      <alignment vertical="center" wrapText="1"/>
    </xf>
    <xf numFmtId="0" fontId="21" fillId="0" borderId="19" xfId="0" applyFont="1" applyBorder="1" applyAlignment="1">
      <alignment horizontal="right" vertical="center" wrapText="1"/>
    </xf>
    <xf numFmtId="0" fontId="22" fillId="0" borderId="20" xfId="0" applyFont="1" applyBorder="1" applyAlignment="1">
      <alignment horizontal="center" vertical="center"/>
    </xf>
    <xf numFmtId="3" fontId="23" fillId="0" borderId="18" xfId="0" applyNumberFormat="1" applyFont="1" applyBorder="1" applyAlignment="1">
      <alignment horizontal="right" vertical="center" wrapText="1"/>
    </xf>
    <xf numFmtId="0" fontId="21" fillId="0" borderId="21" xfId="0" applyFont="1" applyBorder="1" applyAlignment="1">
      <alignment horizontal="right" vertical="center" wrapText="1"/>
    </xf>
    <xf numFmtId="0" fontId="22" fillId="0" borderId="22" xfId="0" applyFont="1" applyBorder="1" applyAlignment="1">
      <alignment horizontal="center" vertical="center"/>
    </xf>
    <xf numFmtId="0" fontId="0" fillId="0" borderId="1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16" fillId="0" borderId="0" xfId="0" applyFont="1" applyAlignment="1">
      <alignment wrapText="1"/>
    </xf>
    <xf numFmtId="0" fontId="20" fillId="0" borderId="0" xfId="0" applyFont="1" applyAlignment="1">
      <alignment wrapText="1"/>
    </xf>
    <xf numFmtId="0" fontId="16" fillId="0" borderId="12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6" fillId="0" borderId="16" xfId="0" applyFont="1" applyBorder="1" applyAlignment="1">
      <alignment vertical="top" wrapText="1"/>
    </xf>
    <xf numFmtId="0" fontId="0" fillId="0" borderId="11" xfId="0" applyBorder="1" applyAlignment="1">
      <alignment wrapText="1"/>
    </xf>
    <xf numFmtId="0" fontId="0" fillId="0" borderId="10" xfId="0" applyBorder="1" applyAlignment="1">
      <alignment vertical="center" wrapText="1"/>
    </xf>
    <xf numFmtId="0" fontId="0" fillId="0" borderId="11" xfId="0" applyBorder="1" applyAlignment="1">
      <alignment vertical="center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 customBuiltin="1"/>
    <cellStyle name="Hipervínculo visitado" xfId="43" builtinId="9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H78"/>
  <sheetViews>
    <sheetView showGridLines="0" tabSelected="1" workbookViewId="0">
      <selection activeCell="K55" sqref="K55"/>
    </sheetView>
  </sheetViews>
  <sheetFormatPr baseColWidth="10" defaultRowHeight="15" x14ac:dyDescent="0.25"/>
  <cols>
    <col min="1" max="1" width="17.85546875" bestFit="1" customWidth="1"/>
    <col min="2" max="2" width="17.28515625" customWidth="1"/>
    <col min="3" max="3" width="16.140625" bestFit="1" customWidth="1"/>
    <col min="4" max="4" width="12.7109375" bestFit="1" customWidth="1"/>
    <col min="5" max="5" width="45.7109375" bestFit="1" customWidth="1"/>
    <col min="6" max="6" width="9.5703125" bestFit="1" customWidth="1"/>
    <col min="7" max="7" width="11.140625" bestFit="1" customWidth="1"/>
  </cols>
  <sheetData>
    <row r="1" spans="1:7" ht="18" customHeight="1" x14ac:dyDescent="0.25">
      <c r="A1" s="77" t="s">
        <v>0</v>
      </c>
      <c r="B1" s="77"/>
      <c r="C1" s="77"/>
      <c r="D1" s="77"/>
      <c r="E1" s="77"/>
    </row>
    <row r="2" spans="1:7" x14ac:dyDescent="0.25">
      <c r="A2" s="74"/>
      <c r="B2" s="74"/>
      <c r="C2" s="74"/>
      <c r="D2" s="74"/>
      <c r="E2" s="74"/>
      <c r="F2" s="74"/>
    </row>
    <row r="3" spans="1:7" ht="15" customHeight="1" x14ac:dyDescent="0.25">
      <c r="A3" s="76" t="s">
        <v>1</v>
      </c>
      <c r="B3" s="76"/>
      <c r="C3" s="76"/>
      <c r="D3" s="76"/>
      <c r="E3" s="76"/>
    </row>
    <row r="4" spans="1:7" x14ac:dyDescent="0.25">
      <c r="A4" s="74"/>
      <c r="B4" s="74"/>
      <c r="C4" s="74"/>
      <c r="D4" s="74"/>
      <c r="E4" s="74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9210059</v>
      </c>
      <c r="C7" s="1"/>
      <c r="D7" s="2" t="s">
        <v>11</v>
      </c>
      <c r="E7" s="4">
        <v>43896</v>
      </c>
    </row>
    <row r="8" spans="1:7" x14ac:dyDescent="0.25">
      <c r="A8" s="2" t="s">
        <v>12</v>
      </c>
      <c r="B8" s="1" t="s">
        <v>13</v>
      </c>
      <c r="C8" s="1"/>
      <c r="D8" s="1"/>
      <c r="E8" s="1"/>
    </row>
    <row r="9" spans="1:7" ht="21" x14ac:dyDescent="0.35">
      <c r="A9" s="1"/>
      <c r="F9" s="21" t="s">
        <v>92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46</v>
      </c>
      <c r="C12" s="1"/>
      <c r="D12" s="2" t="s">
        <v>16</v>
      </c>
      <c r="E12" s="4">
        <v>43895</v>
      </c>
    </row>
    <row r="13" spans="1:7" x14ac:dyDescent="0.25">
      <c r="A13" s="2" t="s">
        <v>17</v>
      </c>
      <c r="B13" s="3">
        <v>42</v>
      </c>
      <c r="C13" s="1"/>
      <c r="D13" s="2" t="s">
        <v>18</v>
      </c>
      <c r="E13" s="4">
        <v>43896</v>
      </c>
    </row>
    <row r="14" spans="1:7" x14ac:dyDescent="0.25">
      <c r="A14" s="2" t="s">
        <v>19</v>
      </c>
      <c r="B14" s="4">
        <v>43895</v>
      </c>
      <c r="C14" s="1"/>
      <c r="D14" s="1"/>
      <c r="E14" s="1"/>
    </row>
    <row r="15" spans="1:7" ht="15" customHeight="1" x14ac:dyDescent="0.25">
      <c r="A15" s="76" t="s">
        <v>20</v>
      </c>
      <c r="B15" s="76"/>
      <c r="C15" s="76"/>
      <c r="D15" s="76"/>
      <c r="E15" s="76"/>
      <c r="F15" s="76"/>
      <c r="G15" s="76"/>
    </row>
    <row r="16" spans="1:7" ht="15.75" thickBot="1" x14ac:dyDescent="0.3">
      <c r="A16" s="74"/>
      <c r="B16" s="74"/>
      <c r="C16" s="74"/>
      <c r="D16" s="74"/>
      <c r="E16" s="74"/>
      <c r="F16" s="74"/>
      <c r="G16" s="74"/>
    </row>
    <row r="17" spans="1:8" x14ac:dyDescent="0.25">
      <c r="A17" s="78" t="s">
        <v>21</v>
      </c>
      <c r="B17" s="79"/>
      <c r="C17" s="79" t="s">
        <v>22</v>
      </c>
      <c r="D17" s="79" t="s">
        <v>23</v>
      </c>
      <c r="E17" s="79" t="s">
        <v>24</v>
      </c>
      <c r="F17" s="17" t="s">
        <v>25</v>
      </c>
      <c r="G17" s="17" t="s">
        <v>27</v>
      </c>
      <c r="H17" s="18" t="s">
        <v>90</v>
      </c>
    </row>
    <row r="18" spans="1:8" ht="15.75" thickBot="1" x14ac:dyDescent="0.3">
      <c r="A18" s="80"/>
      <c r="B18" s="81"/>
      <c r="C18" s="81"/>
      <c r="D18" s="81"/>
      <c r="E18" s="81"/>
      <c r="F18" s="19" t="s">
        <v>26</v>
      </c>
      <c r="G18" s="19" t="s">
        <v>28</v>
      </c>
      <c r="H18" s="20" t="s">
        <v>91</v>
      </c>
    </row>
    <row r="19" spans="1:8" ht="32.25" thickBot="1" x14ac:dyDescent="0.4">
      <c r="A19" s="82" t="s">
        <v>29</v>
      </c>
      <c r="B19" s="82"/>
      <c r="C19" s="35" t="s">
        <v>53</v>
      </c>
      <c r="D19" s="35" t="s">
        <v>54</v>
      </c>
      <c r="E19" s="36" t="s">
        <v>94</v>
      </c>
      <c r="F19" s="37">
        <v>0</v>
      </c>
      <c r="G19" s="38">
        <v>71104</v>
      </c>
      <c r="H19" s="62">
        <v>1026</v>
      </c>
    </row>
    <row r="20" spans="1:8" ht="32.25" thickBot="1" x14ac:dyDescent="0.4">
      <c r="A20" s="72" t="s">
        <v>29</v>
      </c>
      <c r="B20" s="73"/>
      <c r="C20" s="39" t="s">
        <v>44</v>
      </c>
      <c r="D20" s="40" t="s">
        <v>45</v>
      </c>
      <c r="E20" s="40" t="s">
        <v>46</v>
      </c>
      <c r="F20" s="41">
        <v>0</v>
      </c>
      <c r="G20" s="42">
        <v>10928</v>
      </c>
      <c r="H20" s="63">
        <v>1027</v>
      </c>
    </row>
    <row r="21" spans="1:8" ht="32.25" thickBot="1" x14ac:dyDescent="0.4">
      <c r="A21" s="72" t="s">
        <v>29</v>
      </c>
      <c r="B21" s="72"/>
      <c r="C21" s="16" t="s">
        <v>30</v>
      </c>
      <c r="D21" s="16" t="s">
        <v>56</v>
      </c>
      <c r="E21" s="30" t="s">
        <v>95</v>
      </c>
      <c r="F21" s="31">
        <v>0</v>
      </c>
      <c r="G21" s="32">
        <v>113390</v>
      </c>
      <c r="H21" s="62">
        <v>1028</v>
      </c>
    </row>
    <row r="22" spans="1:8" ht="32.25" thickBot="1" x14ac:dyDescent="0.4">
      <c r="A22" s="72" t="s">
        <v>29</v>
      </c>
      <c r="B22" s="72"/>
      <c r="C22" s="10" t="s">
        <v>30</v>
      </c>
      <c r="D22" s="10" t="s">
        <v>43</v>
      </c>
      <c r="E22" s="33" t="s">
        <v>96</v>
      </c>
      <c r="F22" s="43">
        <v>0</v>
      </c>
      <c r="G22" s="32">
        <v>10658</v>
      </c>
      <c r="H22" s="63">
        <v>1029</v>
      </c>
    </row>
    <row r="23" spans="1:8" ht="32.25" thickBot="1" x14ac:dyDescent="0.4">
      <c r="A23" s="72" t="s">
        <v>29</v>
      </c>
      <c r="B23" s="72"/>
      <c r="C23" s="10" t="s">
        <v>30</v>
      </c>
      <c r="D23" s="10" t="s">
        <v>48</v>
      </c>
      <c r="E23" s="33" t="s">
        <v>97</v>
      </c>
      <c r="F23" s="43">
        <v>0</v>
      </c>
      <c r="G23" s="32">
        <v>13521</v>
      </c>
      <c r="H23" s="62">
        <v>1030</v>
      </c>
    </row>
    <row r="24" spans="1:8" ht="32.25" thickBot="1" x14ac:dyDescent="0.4">
      <c r="A24" s="72" t="s">
        <v>29</v>
      </c>
      <c r="B24" s="72"/>
      <c r="C24" s="10" t="s">
        <v>30</v>
      </c>
      <c r="D24" s="10" t="s">
        <v>62</v>
      </c>
      <c r="E24" s="33" t="s">
        <v>98</v>
      </c>
      <c r="F24" s="43">
        <v>0</v>
      </c>
      <c r="G24" s="32">
        <v>461793</v>
      </c>
      <c r="H24" s="63">
        <v>1031</v>
      </c>
    </row>
    <row r="25" spans="1:8" ht="32.25" thickBot="1" x14ac:dyDescent="0.4">
      <c r="A25" s="72" t="s">
        <v>29</v>
      </c>
      <c r="B25" s="72"/>
      <c r="C25" s="10" t="s">
        <v>30</v>
      </c>
      <c r="D25" s="10" t="s">
        <v>47</v>
      </c>
      <c r="E25" s="33" t="s">
        <v>99</v>
      </c>
      <c r="F25" s="43">
        <v>0</v>
      </c>
      <c r="G25" s="32">
        <v>12169</v>
      </c>
      <c r="H25" s="62">
        <v>1032</v>
      </c>
    </row>
    <row r="26" spans="1:8" ht="32.25" thickBot="1" x14ac:dyDescent="0.4">
      <c r="A26" s="72" t="s">
        <v>29</v>
      </c>
      <c r="B26" s="72"/>
      <c r="C26" s="10" t="s">
        <v>30</v>
      </c>
      <c r="D26" s="10" t="s">
        <v>55</v>
      </c>
      <c r="E26" s="33" t="s">
        <v>100</v>
      </c>
      <c r="F26" s="43">
        <v>0</v>
      </c>
      <c r="G26" s="32">
        <v>74870</v>
      </c>
      <c r="H26" s="63">
        <v>1033</v>
      </c>
    </row>
    <row r="27" spans="1:8" ht="32.25" thickBot="1" x14ac:dyDescent="0.4">
      <c r="A27" s="72" t="s">
        <v>29</v>
      </c>
      <c r="B27" s="72"/>
      <c r="C27" s="10" t="s">
        <v>30</v>
      </c>
      <c r="D27" s="10" t="s">
        <v>50</v>
      </c>
      <c r="E27" s="33" t="s">
        <v>101</v>
      </c>
      <c r="F27" s="43">
        <v>0</v>
      </c>
      <c r="G27" s="32">
        <v>41993</v>
      </c>
      <c r="H27" s="62">
        <v>1034</v>
      </c>
    </row>
    <row r="28" spans="1:8" ht="32.25" thickBot="1" x14ac:dyDescent="0.4">
      <c r="A28" s="72" t="s">
        <v>29</v>
      </c>
      <c r="B28" s="72"/>
      <c r="C28" s="10" t="s">
        <v>30</v>
      </c>
      <c r="D28" s="10" t="s">
        <v>42</v>
      </c>
      <c r="E28" s="33" t="s">
        <v>102</v>
      </c>
      <c r="F28" s="43">
        <v>0</v>
      </c>
      <c r="G28" s="32">
        <v>10657</v>
      </c>
      <c r="H28" s="63">
        <v>1035</v>
      </c>
    </row>
    <row r="29" spans="1:8" ht="32.25" thickBot="1" x14ac:dyDescent="0.4">
      <c r="A29" s="72" t="s">
        <v>29</v>
      </c>
      <c r="B29" s="72"/>
      <c r="C29" s="10" t="s">
        <v>30</v>
      </c>
      <c r="D29" s="10" t="s">
        <v>71</v>
      </c>
      <c r="E29" s="33" t="s">
        <v>103</v>
      </c>
      <c r="F29" s="43">
        <v>0</v>
      </c>
      <c r="G29" s="32">
        <v>1376512</v>
      </c>
      <c r="H29" s="62">
        <v>1036</v>
      </c>
    </row>
    <row r="30" spans="1:8" ht="32.25" thickBot="1" x14ac:dyDescent="0.4">
      <c r="A30" s="72" t="s">
        <v>29</v>
      </c>
      <c r="B30" s="72"/>
      <c r="C30" s="10" t="s">
        <v>30</v>
      </c>
      <c r="D30" s="44" t="s">
        <v>34</v>
      </c>
      <c r="E30" s="45" t="s">
        <v>104</v>
      </c>
      <c r="F30" s="46">
        <v>0</v>
      </c>
      <c r="G30" s="38">
        <v>5873</v>
      </c>
      <c r="H30" s="63">
        <v>1037</v>
      </c>
    </row>
    <row r="31" spans="1:8" ht="31.5" x14ac:dyDescent="0.35">
      <c r="A31" s="72" t="s">
        <v>29</v>
      </c>
      <c r="B31" s="72"/>
      <c r="C31" s="34" t="s">
        <v>30</v>
      </c>
      <c r="D31" s="51" t="s">
        <v>60</v>
      </c>
      <c r="E31" s="49" t="s">
        <v>105</v>
      </c>
      <c r="F31" s="52">
        <v>0</v>
      </c>
      <c r="G31" s="53">
        <v>128272</v>
      </c>
      <c r="H31" s="63"/>
    </row>
    <row r="32" spans="1:8" ht="32.25" thickBot="1" x14ac:dyDescent="0.4">
      <c r="A32" s="72" t="s">
        <v>29</v>
      </c>
      <c r="B32" s="72"/>
      <c r="C32" s="34" t="s">
        <v>30</v>
      </c>
      <c r="D32" s="54" t="s">
        <v>60</v>
      </c>
      <c r="E32" s="50" t="s">
        <v>105</v>
      </c>
      <c r="F32" s="55">
        <v>0</v>
      </c>
      <c r="G32" s="56">
        <v>239278</v>
      </c>
      <c r="H32" s="63"/>
    </row>
    <row r="33" spans="1:8" ht="21.75" thickBot="1" x14ac:dyDescent="0.4">
      <c r="A33" s="28"/>
      <c r="B33" s="28"/>
      <c r="C33" s="28"/>
      <c r="D33" s="35"/>
      <c r="E33" s="36"/>
      <c r="F33" s="37" t="s">
        <v>106</v>
      </c>
      <c r="G33" s="57">
        <f>SUM(G31:G32)</f>
        <v>367550</v>
      </c>
      <c r="H33" s="63">
        <v>1038</v>
      </c>
    </row>
    <row r="34" spans="1:8" ht="31.5" x14ac:dyDescent="0.35">
      <c r="A34" s="72" t="s">
        <v>29</v>
      </c>
      <c r="B34" s="72"/>
      <c r="C34" s="34" t="s">
        <v>30</v>
      </c>
      <c r="D34" s="51" t="s">
        <v>35</v>
      </c>
      <c r="E34" s="49" t="s">
        <v>107</v>
      </c>
      <c r="F34" s="52">
        <v>0</v>
      </c>
      <c r="G34" s="53">
        <v>5360846</v>
      </c>
      <c r="H34" s="63"/>
    </row>
    <row r="35" spans="1:8" ht="32.25" thickBot="1" x14ac:dyDescent="0.4">
      <c r="A35" s="72" t="s">
        <v>29</v>
      </c>
      <c r="B35" s="72"/>
      <c r="C35" s="34" t="s">
        <v>30</v>
      </c>
      <c r="D35" s="54" t="s">
        <v>35</v>
      </c>
      <c r="E35" s="50" t="s">
        <v>107</v>
      </c>
      <c r="F35" s="55">
        <v>0</v>
      </c>
      <c r="G35" s="56">
        <v>2176541</v>
      </c>
      <c r="H35" s="63"/>
    </row>
    <row r="36" spans="1:8" ht="21.75" thickBot="1" x14ac:dyDescent="0.4">
      <c r="A36" s="28"/>
      <c r="B36" s="28"/>
      <c r="C36" s="28"/>
      <c r="D36" s="35"/>
      <c r="E36" s="35"/>
      <c r="F36" s="37" t="s">
        <v>106</v>
      </c>
      <c r="G36" s="57">
        <f>SUM(G34:G35)</f>
        <v>7537387</v>
      </c>
      <c r="H36" s="63">
        <v>1039</v>
      </c>
    </row>
    <row r="37" spans="1:8" ht="31.5" x14ac:dyDescent="0.35">
      <c r="A37" s="72" t="s">
        <v>29</v>
      </c>
      <c r="B37" s="72"/>
      <c r="C37" s="34" t="s">
        <v>30</v>
      </c>
      <c r="D37" s="51" t="s">
        <v>37</v>
      </c>
      <c r="E37" s="49" t="s">
        <v>108</v>
      </c>
      <c r="F37" s="52">
        <v>0</v>
      </c>
      <c r="G37" s="53">
        <v>2942808</v>
      </c>
      <c r="H37" s="63"/>
    </row>
    <row r="38" spans="1:8" ht="31.5" x14ac:dyDescent="0.35">
      <c r="A38" s="72" t="s">
        <v>29</v>
      </c>
      <c r="B38" s="72"/>
      <c r="C38" s="34" t="s">
        <v>30</v>
      </c>
      <c r="D38" s="58" t="s">
        <v>37</v>
      </c>
      <c r="E38" s="48" t="s">
        <v>108</v>
      </c>
      <c r="F38" s="59">
        <v>0</v>
      </c>
      <c r="G38" s="60">
        <v>2208215</v>
      </c>
      <c r="H38" s="63"/>
    </row>
    <row r="39" spans="1:8" ht="32.25" thickBot="1" x14ac:dyDescent="0.4">
      <c r="A39" s="72" t="s">
        <v>29</v>
      </c>
      <c r="B39" s="72"/>
      <c r="C39" s="34" t="s">
        <v>30</v>
      </c>
      <c r="D39" s="54" t="s">
        <v>37</v>
      </c>
      <c r="E39" s="50" t="s">
        <v>108</v>
      </c>
      <c r="F39" s="55">
        <v>0</v>
      </c>
      <c r="G39" s="56">
        <v>2526896</v>
      </c>
      <c r="H39" s="63"/>
    </row>
    <row r="40" spans="1:8" ht="21.75" thickBot="1" x14ac:dyDescent="0.4">
      <c r="A40" s="28"/>
      <c r="B40" s="28"/>
      <c r="C40" s="28"/>
      <c r="D40" s="29"/>
      <c r="E40" s="29"/>
      <c r="F40" s="31" t="s">
        <v>106</v>
      </c>
      <c r="G40" s="47">
        <f>SUM(G37:G39)</f>
        <v>7677919</v>
      </c>
      <c r="H40" s="63">
        <v>1041</v>
      </c>
    </row>
    <row r="41" spans="1:8" ht="32.25" thickBot="1" x14ac:dyDescent="0.4">
      <c r="A41" s="72" t="s">
        <v>29</v>
      </c>
      <c r="B41" s="72"/>
      <c r="C41" s="10" t="s">
        <v>30</v>
      </c>
      <c r="D41" s="10" t="s">
        <v>49</v>
      </c>
      <c r="E41" s="33" t="s">
        <v>109</v>
      </c>
      <c r="F41" s="43">
        <v>0</v>
      </c>
      <c r="G41" s="32">
        <v>16993</v>
      </c>
      <c r="H41" s="63">
        <v>1042</v>
      </c>
    </row>
    <row r="42" spans="1:8" ht="32.25" thickBot="1" x14ac:dyDescent="0.4">
      <c r="A42" s="72" t="s">
        <v>29</v>
      </c>
      <c r="B42" s="72"/>
      <c r="C42" s="10" t="s">
        <v>30</v>
      </c>
      <c r="D42" s="10" t="s">
        <v>33</v>
      </c>
      <c r="E42" s="33" t="s">
        <v>110</v>
      </c>
      <c r="F42" s="43">
        <v>0</v>
      </c>
      <c r="G42" s="32">
        <v>3579</v>
      </c>
      <c r="H42" s="63">
        <v>1043</v>
      </c>
    </row>
    <row r="43" spans="1:8" ht="32.25" thickBot="1" x14ac:dyDescent="0.4">
      <c r="A43" s="72" t="s">
        <v>29</v>
      </c>
      <c r="B43" s="72"/>
      <c r="C43" s="10" t="s">
        <v>30</v>
      </c>
      <c r="D43" s="10" t="s">
        <v>36</v>
      </c>
      <c r="E43" s="33" t="s">
        <v>111</v>
      </c>
      <c r="F43" s="43">
        <v>0</v>
      </c>
      <c r="G43" s="32">
        <v>16785795</v>
      </c>
      <c r="H43" s="63">
        <v>1044</v>
      </c>
    </row>
    <row r="44" spans="1:8" ht="32.25" thickBot="1" x14ac:dyDescent="0.4">
      <c r="A44" s="72" t="s">
        <v>29</v>
      </c>
      <c r="B44" s="72"/>
      <c r="C44" s="10" t="s">
        <v>112</v>
      </c>
      <c r="D44" s="10" t="s">
        <v>63</v>
      </c>
      <c r="E44" s="33" t="s">
        <v>113</v>
      </c>
      <c r="F44" s="43">
        <v>0</v>
      </c>
      <c r="G44" s="32">
        <v>507718</v>
      </c>
      <c r="H44" s="63">
        <v>1045</v>
      </c>
    </row>
    <row r="45" spans="1:8" ht="32.25" thickBot="1" x14ac:dyDescent="0.4">
      <c r="A45" s="72" t="s">
        <v>29</v>
      </c>
      <c r="B45" s="72"/>
      <c r="C45" s="44" t="s">
        <v>57</v>
      </c>
      <c r="D45" s="44" t="s">
        <v>58</v>
      </c>
      <c r="E45" s="45" t="s">
        <v>114</v>
      </c>
      <c r="F45" s="46">
        <v>0</v>
      </c>
      <c r="G45" s="38">
        <v>123445</v>
      </c>
      <c r="H45" s="63">
        <v>1046</v>
      </c>
    </row>
    <row r="46" spans="1:8" ht="30" customHeight="1" x14ac:dyDescent="0.35">
      <c r="A46" s="72" t="s">
        <v>29</v>
      </c>
      <c r="B46" s="73"/>
      <c r="C46" s="51" t="s">
        <v>38</v>
      </c>
      <c r="D46" s="49" t="s">
        <v>75</v>
      </c>
      <c r="E46" s="49" t="s">
        <v>115</v>
      </c>
      <c r="F46" s="52">
        <v>0</v>
      </c>
      <c r="G46" s="53">
        <v>2511349</v>
      </c>
      <c r="H46" s="63"/>
    </row>
    <row r="47" spans="1:8" ht="30" customHeight="1" x14ac:dyDescent="0.35">
      <c r="A47" s="72" t="s">
        <v>29</v>
      </c>
      <c r="B47" s="73"/>
      <c r="C47" s="58" t="s">
        <v>38</v>
      </c>
      <c r="D47" s="48" t="s">
        <v>74</v>
      </c>
      <c r="E47" s="48" t="s">
        <v>115</v>
      </c>
      <c r="F47" s="59">
        <v>0</v>
      </c>
      <c r="G47" s="60">
        <v>2043212</v>
      </c>
      <c r="H47" s="63"/>
    </row>
    <row r="48" spans="1:8" ht="30" customHeight="1" x14ac:dyDescent="0.35">
      <c r="A48" s="72" t="s">
        <v>29</v>
      </c>
      <c r="B48" s="73"/>
      <c r="C48" s="58" t="s">
        <v>38</v>
      </c>
      <c r="D48" s="48" t="s">
        <v>61</v>
      </c>
      <c r="E48" s="48" t="s">
        <v>115</v>
      </c>
      <c r="F48" s="59">
        <v>0</v>
      </c>
      <c r="G48" s="60">
        <v>206816</v>
      </c>
      <c r="H48" s="63"/>
    </row>
    <row r="49" spans="1:8" ht="30" customHeight="1" x14ac:dyDescent="0.35">
      <c r="A49" s="72" t="s">
        <v>29</v>
      </c>
      <c r="B49" s="73"/>
      <c r="C49" s="58" t="s">
        <v>38</v>
      </c>
      <c r="D49" s="48" t="s">
        <v>73</v>
      </c>
      <c r="E49" s="48" t="s">
        <v>115</v>
      </c>
      <c r="F49" s="59">
        <v>0</v>
      </c>
      <c r="G49" s="60">
        <v>1481966</v>
      </c>
      <c r="H49" s="63"/>
    </row>
    <row r="50" spans="1:8" ht="30" customHeight="1" x14ac:dyDescent="0.35">
      <c r="A50" s="72" t="s">
        <v>29</v>
      </c>
      <c r="B50" s="73"/>
      <c r="C50" s="58" t="s">
        <v>38</v>
      </c>
      <c r="D50" s="48" t="s">
        <v>41</v>
      </c>
      <c r="E50" s="48" t="s">
        <v>115</v>
      </c>
      <c r="F50" s="59">
        <v>0</v>
      </c>
      <c r="G50" s="60">
        <v>4968134</v>
      </c>
      <c r="H50" s="63"/>
    </row>
    <row r="51" spans="1:8" ht="30" customHeight="1" x14ac:dyDescent="0.35">
      <c r="A51" s="72" t="s">
        <v>29</v>
      </c>
      <c r="B51" s="73"/>
      <c r="C51" s="58" t="s">
        <v>38</v>
      </c>
      <c r="D51" s="48" t="s">
        <v>65</v>
      </c>
      <c r="E51" s="48" t="s">
        <v>115</v>
      </c>
      <c r="F51" s="59">
        <v>0</v>
      </c>
      <c r="G51" s="60">
        <v>782177</v>
      </c>
      <c r="H51" s="63"/>
    </row>
    <row r="52" spans="1:8" ht="30" customHeight="1" x14ac:dyDescent="0.35">
      <c r="A52" s="72" t="s">
        <v>29</v>
      </c>
      <c r="B52" s="73"/>
      <c r="C52" s="58" t="s">
        <v>38</v>
      </c>
      <c r="D52" s="48" t="s">
        <v>39</v>
      </c>
      <c r="E52" s="48" t="s">
        <v>115</v>
      </c>
      <c r="F52" s="59">
        <v>0</v>
      </c>
      <c r="G52" s="60">
        <v>3061229</v>
      </c>
      <c r="H52" s="63"/>
    </row>
    <row r="53" spans="1:8" ht="30" customHeight="1" x14ac:dyDescent="0.35">
      <c r="A53" s="72" t="s">
        <v>29</v>
      </c>
      <c r="B53" s="73"/>
      <c r="C53" s="58" t="s">
        <v>38</v>
      </c>
      <c r="D53" s="48" t="s">
        <v>59</v>
      </c>
      <c r="E53" s="48" t="s">
        <v>115</v>
      </c>
      <c r="F53" s="59">
        <v>0</v>
      </c>
      <c r="G53" s="60">
        <v>125765</v>
      </c>
      <c r="H53" s="63"/>
    </row>
    <row r="54" spans="1:8" ht="30" customHeight="1" x14ac:dyDescent="0.35">
      <c r="A54" s="72" t="s">
        <v>29</v>
      </c>
      <c r="B54" s="73"/>
      <c r="C54" s="58" t="s">
        <v>38</v>
      </c>
      <c r="D54" s="48" t="s">
        <v>66</v>
      </c>
      <c r="E54" s="48" t="s">
        <v>115</v>
      </c>
      <c r="F54" s="59">
        <v>0</v>
      </c>
      <c r="G54" s="60">
        <v>821794</v>
      </c>
      <c r="H54" s="63"/>
    </row>
    <row r="55" spans="1:8" ht="30" customHeight="1" x14ac:dyDescent="0.35">
      <c r="A55" s="72" t="s">
        <v>29</v>
      </c>
      <c r="B55" s="73"/>
      <c r="C55" s="58" t="s">
        <v>38</v>
      </c>
      <c r="D55" s="48" t="s">
        <v>64</v>
      </c>
      <c r="E55" s="48" t="s">
        <v>115</v>
      </c>
      <c r="F55" s="59">
        <v>0</v>
      </c>
      <c r="G55" s="60">
        <v>562653</v>
      </c>
      <c r="H55" s="63"/>
    </row>
    <row r="56" spans="1:8" ht="30" customHeight="1" x14ac:dyDescent="0.35">
      <c r="A56" s="72" t="s">
        <v>29</v>
      </c>
      <c r="B56" s="73"/>
      <c r="C56" s="58" t="s">
        <v>38</v>
      </c>
      <c r="D56" s="48" t="s">
        <v>40</v>
      </c>
      <c r="E56" s="48" t="s">
        <v>115</v>
      </c>
      <c r="F56" s="59">
        <v>0</v>
      </c>
      <c r="G56" s="60">
        <v>3598536</v>
      </c>
      <c r="H56" s="63"/>
    </row>
    <row r="57" spans="1:8" ht="30" customHeight="1" x14ac:dyDescent="0.35">
      <c r="A57" s="72" t="s">
        <v>29</v>
      </c>
      <c r="B57" s="73"/>
      <c r="C57" s="58" t="s">
        <v>38</v>
      </c>
      <c r="D57" s="48" t="s">
        <v>70</v>
      </c>
      <c r="E57" s="48" t="s">
        <v>115</v>
      </c>
      <c r="F57" s="59">
        <v>0</v>
      </c>
      <c r="G57" s="60">
        <v>1302935</v>
      </c>
      <c r="H57" s="63"/>
    </row>
    <row r="58" spans="1:8" ht="30" customHeight="1" x14ac:dyDescent="0.35">
      <c r="A58" s="72" t="s">
        <v>29</v>
      </c>
      <c r="B58" s="73"/>
      <c r="C58" s="58" t="s">
        <v>38</v>
      </c>
      <c r="D58" s="48" t="s">
        <v>69</v>
      </c>
      <c r="E58" s="48" t="s">
        <v>115</v>
      </c>
      <c r="F58" s="59">
        <v>0</v>
      </c>
      <c r="G58" s="60">
        <v>1264297</v>
      </c>
      <c r="H58" s="63"/>
    </row>
    <row r="59" spans="1:8" ht="30" customHeight="1" thickBot="1" x14ac:dyDescent="0.4">
      <c r="A59" s="72" t="s">
        <v>29</v>
      </c>
      <c r="B59" s="73"/>
      <c r="C59" s="54" t="s">
        <v>38</v>
      </c>
      <c r="D59" s="50" t="s">
        <v>72</v>
      </c>
      <c r="E59" s="50" t="s">
        <v>115</v>
      </c>
      <c r="F59" s="55">
        <v>0</v>
      </c>
      <c r="G59" s="56">
        <v>1443952</v>
      </c>
      <c r="H59" s="63"/>
    </row>
    <row r="60" spans="1:8" ht="21.75" thickBot="1" x14ac:dyDescent="0.4">
      <c r="A60" s="28"/>
      <c r="B60" s="28"/>
      <c r="C60" s="29"/>
      <c r="D60" s="29"/>
      <c r="E60" s="29"/>
      <c r="F60" s="31" t="s">
        <v>106</v>
      </c>
      <c r="G60" s="47">
        <f>SUM(G46:G59)</f>
        <v>24174815</v>
      </c>
      <c r="H60" s="63">
        <v>1047</v>
      </c>
    </row>
    <row r="61" spans="1:8" ht="32.25" thickBot="1" x14ac:dyDescent="0.4">
      <c r="A61" s="72" t="s">
        <v>29</v>
      </c>
      <c r="B61" s="72"/>
      <c r="C61" s="10" t="s">
        <v>51</v>
      </c>
      <c r="D61" s="10" t="s">
        <v>52</v>
      </c>
      <c r="E61" s="33" t="s">
        <v>116</v>
      </c>
      <c r="F61" s="43">
        <v>0</v>
      </c>
      <c r="G61" s="32">
        <v>70569</v>
      </c>
      <c r="H61" s="63">
        <v>1048</v>
      </c>
    </row>
    <row r="62" spans="1:8" ht="21.75" thickBot="1" x14ac:dyDescent="0.4">
      <c r="A62" s="72" t="s">
        <v>29</v>
      </c>
      <c r="B62" s="72"/>
      <c r="C62" s="10" t="s">
        <v>30</v>
      </c>
      <c r="D62" s="10" t="s">
        <v>31</v>
      </c>
      <c r="E62" s="10" t="s">
        <v>32</v>
      </c>
      <c r="F62" s="15">
        <v>210000</v>
      </c>
      <c r="G62" s="61">
        <v>0</v>
      </c>
      <c r="H62" s="64"/>
    </row>
    <row r="63" spans="1:8" ht="32.25" thickBot="1" x14ac:dyDescent="0.4">
      <c r="A63" s="72" t="s">
        <v>29</v>
      </c>
      <c r="B63" s="72"/>
      <c r="C63" s="10" t="s">
        <v>67</v>
      </c>
      <c r="D63" s="10" t="s">
        <v>68</v>
      </c>
      <c r="E63" s="33" t="s">
        <v>117</v>
      </c>
      <c r="F63" s="43">
        <v>0</v>
      </c>
      <c r="G63" s="32">
        <v>1186895</v>
      </c>
      <c r="H63" s="63">
        <v>1049</v>
      </c>
    </row>
    <row r="64" spans="1:8" ht="32.25" thickBot="1" x14ac:dyDescent="0.4">
      <c r="A64" s="72" t="s">
        <v>76</v>
      </c>
      <c r="B64" s="72"/>
      <c r="C64" s="10" t="s">
        <v>30</v>
      </c>
      <c r="D64" s="10" t="s">
        <v>77</v>
      </c>
      <c r="E64" s="33" t="s">
        <v>78</v>
      </c>
      <c r="F64" s="43">
        <v>0</v>
      </c>
      <c r="G64" s="32">
        <v>35792</v>
      </c>
      <c r="H64" s="63">
        <v>1050</v>
      </c>
    </row>
    <row r="65" spans="1:7" x14ac:dyDescent="0.25">
      <c r="A65" s="5"/>
      <c r="B65" s="5"/>
      <c r="C65" s="5"/>
      <c r="D65" s="5"/>
      <c r="E65" s="5"/>
      <c r="F65" s="7"/>
      <c r="G65" s="6">
        <f>G19+G20+G21+G22+G23+G24+G25+G26+G27+G28+G29+G30+G33+G36+G40+G41+G42+G43+G44+G45+G60+G61+G63+G64</f>
        <v>60691925</v>
      </c>
    </row>
    <row r="66" spans="1:7" x14ac:dyDescent="0.25">
      <c r="A66" s="75"/>
      <c r="B66" s="75"/>
      <c r="C66" s="75"/>
      <c r="D66" s="75"/>
      <c r="E66" s="75"/>
      <c r="F66" s="75"/>
      <c r="G66" s="75"/>
    </row>
    <row r="67" spans="1:7" x14ac:dyDescent="0.25">
      <c r="A67" s="74"/>
      <c r="B67" s="74"/>
      <c r="C67" s="74"/>
      <c r="D67" s="74"/>
      <c r="E67" s="74"/>
      <c r="F67" s="74"/>
      <c r="G67" s="74"/>
    </row>
    <row r="68" spans="1:7" ht="15" customHeight="1" x14ac:dyDescent="0.25">
      <c r="A68" s="76" t="s">
        <v>79</v>
      </c>
      <c r="B68" s="76"/>
      <c r="C68" s="76"/>
      <c r="D68" s="76"/>
      <c r="E68" s="76"/>
      <c r="F68" s="76"/>
      <c r="G68" s="76"/>
    </row>
    <row r="69" spans="1:7" x14ac:dyDescent="0.25">
      <c r="A69" s="74"/>
      <c r="B69" s="74"/>
      <c r="C69" s="74"/>
      <c r="D69" s="74"/>
      <c r="E69" s="74"/>
      <c r="F69" s="74"/>
      <c r="G69" s="74"/>
    </row>
    <row r="70" spans="1:7" x14ac:dyDescent="0.25">
      <c r="A70" s="10" t="s">
        <v>80</v>
      </c>
      <c r="B70" s="11">
        <v>5021330928</v>
      </c>
      <c r="C70" s="12"/>
    </row>
    <row r="71" spans="1:7" x14ac:dyDescent="0.25">
      <c r="A71" s="10" t="s">
        <v>81</v>
      </c>
      <c r="B71" s="13">
        <v>0</v>
      </c>
      <c r="C71" s="12"/>
    </row>
    <row r="72" spans="1:7" x14ac:dyDescent="0.25">
      <c r="A72" s="10" t="s">
        <v>82</v>
      </c>
      <c r="B72" s="11">
        <v>210000</v>
      </c>
      <c r="C72" s="12"/>
    </row>
    <row r="73" spans="1:7" x14ac:dyDescent="0.25">
      <c r="A73" s="10" t="s">
        <v>83</v>
      </c>
      <c r="B73" s="11">
        <v>25626828</v>
      </c>
      <c r="C73" s="14">
        <f>B73+B74</f>
        <v>60691925</v>
      </c>
    </row>
    <row r="74" spans="1:7" x14ac:dyDescent="0.25">
      <c r="A74" s="10" t="s">
        <v>84</v>
      </c>
      <c r="B74" s="11">
        <v>35065097</v>
      </c>
      <c r="C74" s="12"/>
    </row>
    <row r="75" spans="1:7" x14ac:dyDescent="0.25">
      <c r="A75" s="10" t="s">
        <v>85</v>
      </c>
      <c r="B75" s="15">
        <v>5081812853</v>
      </c>
      <c r="C75" s="12"/>
    </row>
    <row r="76" spans="1:7" x14ac:dyDescent="0.25">
      <c r="A76" s="9"/>
    </row>
    <row r="77" spans="1:7" x14ac:dyDescent="0.25">
      <c r="A77" s="9"/>
    </row>
    <row r="78" spans="1:7" x14ac:dyDescent="0.25">
      <c r="A78" s="9"/>
    </row>
  </sheetData>
  <sortState xmlns:xlrd2="http://schemas.microsoft.com/office/spreadsheetml/2017/richdata2" ref="C19:G63">
    <sortCondition ref="D19:D63"/>
  </sortState>
  <mergeCells count="56">
    <mergeCell ref="A24:B24"/>
    <mergeCell ref="A3:E3"/>
    <mergeCell ref="A4:E4"/>
    <mergeCell ref="A1:E1"/>
    <mergeCell ref="A2:F2"/>
    <mergeCell ref="A17:B18"/>
    <mergeCell ref="C17:C18"/>
    <mergeCell ref="D17:D18"/>
    <mergeCell ref="E17:E18"/>
    <mergeCell ref="A19:B19"/>
    <mergeCell ref="A20:B20"/>
    <mergeCell ref="A21:B21"/>
    <mergeCell ref="A22:B22"/>
    <mergeCell ref="A23:B23"/>
    <mergeCell ref="A15:G15"/>
    <mergeCell ref="A16:G16"/>
    <mergeCell ref="A45:B45"/>
    <mergeCell ref="A38:B38"/>
    <mergeCell ref="A25:B25"/>
    <mergeCell ref="A26:B26"/>
    <mergeCell ref="A27:B27"/>
    <mergeCell ref="A28:B28"/>
    <mergeCell ref="A29:B29"/>
    <mergeCell ref="A30:B30"/>
    <mergeCell ref="A31:B31"/>
    <mergeCell ref="A32:B32"/>
    <mergeCell ref="A34:B34"/>
    <mergeCell ref="A35:B35"/>
    <mergeCell ref="A37:B37"/>
    <mergeCell ref="A39:B39"/>
    <mergeCell ref="A41:B41"/>
    <mergeCell ref="A42:B42"/>
    <mergeCell ref="A43:B43"/>
    <mergeCell ref="A44:B44"/>
    <mergeCell ref="A69:G69"/>
    <mergeCell ref="A58:B58"/>
    <mergeCell ref="A59:B59"/>
    <mergeCell ref="A61:B61"/>
    <mergeCell ref="A62:B62"/>
    <mergeCell ref="A63:B63"/>
    <mergeCell ref="A64:B64"/>
    <mergeCell ref="A66:G66"/>
    <mergeCell ref="A67:G67"/>
    <mergeCell ref="A68:G68"/>
    <mergeCell ref="A57:B57"/>
    <mergeCell ref="A46:B46"/>
    <mergeCell ref="A47:B47"/>
    <mergeCell ref="A48:B48"/>
    <mergeCell ref="A55:B55"/>
    <mergeCell ref="A56:B56"/>
    <mergeCell ref="A51:B51"/>
    <mergeCell ref="A49:B49"/>
    <mergeCell ref="A50:B50"/>
    <mergeCell ref="A52:B52"/>
    <mergeCell ref="A53:B53"/>
    <mergeCell ref="A54:B54"/>
  </mergeCells>
  <pageMargins left="0.75" right="0.75" top="1" bottom="1" header="0.5" footer="0.5"/>
  <pageSetup scale="62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H40"/>
  <sheetViews>
    <sheetView topLeftCell="A10" workbookViewId="0">
      <selection activeCell="J28" sqref="J28"/>
    </sheetView>
  </sheetViews>
  <sheetFormatPr baseColWidth="10" defaultRowHeight="15" x14ac:dyDescent="0.25"/>
  <cols>
    <col min="1" max="1" width="17.85546875" bestFit="1" customWidth="1"/>
    <col min="2" max="2" width="14.85546875" customWidth="1"/>
    <col min="3" max="3" width="16.140625" bestFit="1" customWidth="1"/>
    <col min="4" max="4" width="12.7109375" bestFit="1" customWidth="1"/>
    <col min="5" max="5" width="39.28515625" customWidth="1"/>
    <col min="6" max="6" width="9.5703125" bestFit="1" customWidth="1"/>
    <col min="7" max="7" width="10.7109375" bestFit="1" customWidth="1"/>
  </cols>
  <sheetData>
    <row r="1" spans="1:7" ht="18" x14ac:dyDescent="0.25">
      <c r="A1" s="77" t="s">
        <v>0</v>
      </c>
      <c r="B1" s="77"/>
      <c r="C1" s="77"/>
      <c r="D1" s="77"/>
      <c r="E1" s="77"/>
    </row>
    <row r="2" spans="1:7" x14ac:dyDescent="0.25">
      <c r="A2" s="74"/>
      <c r="B2" s="74"/>
      <c r="C2" s="74"/>
      <c r="D2" s="74"/>
      <c r="E2" s="74"/>
      <c r="F2" s="74"/>
    </row>
    <row r="3" spans="1:7" ht="15" customHeight="1" x14ac:dyDescent="0.25">
      <c r="A3" s="76" t="s">
        <v>1</v>
      </c>
      <c r="B3" s="76"/>
      <c r="C3" s="76"/>
      <c r="D3" s="76"/>
      <c r="E3" s="76"/>
    </row>
    <row r="4" spans="1:7" x14ac:dyDescent="0.25">
      <c r="A4" s="74"/>
      <c r="B4" s="74"/>
      <c r="C4" s="74"/>
      <c r="D4" s="74"/>
      <c r="E4" s="74"/>
    </row>
    <row r="5" spans="1:7" x14ac:dyDescent="0.25">
      <c r="A5" s="2" t="s">
        <v>2</v>
      </c>
      <c r="B5" s="3" t="s">
        <v>3</v>
      </c>
      <c r="C5" s="1"/>
      <c r="D5" s="2" t="s">
        <v>4</v>
      </c>
      <c r="E5" s="3" t="s">
        <v>5</v>
      </c>
    </row>
    <row r="6" spans="1:7" x14ac:dyDescent="0.25">
      <c r="A6" s="2" t="s">
        <v>6</v>
      </c>
      <c r="B6" s="3" t="s">
        <v>7</v>
      </c>
      <c r="C6" s="1"/>
      <c r="D6" s="2" t="s">
        <v>8</v>
      </c>
      <c r="E6" s="3" t="s">
        <v>9</v>
      </c>
    </row>
    <row r="7" spans="1:7" x14ac:dyDescent="0.25">
      <c r="A7" s="2" t="s">
        <v>10</v>
      </c>
      <c r="B7" s="3">
        <v>9210920</v>
      </c>
      <c r="C7" s="1"/>
      <c r="D7" s="2" t="s">
        <v>11</v>
      </c>
      <c r="E7" s="4">
        <v>43896</v>
      </c>
    </row>
    <row r="8" spans="1:7" x14ac:dyDescent="0.25">
      <c r="A8" s="2" t="s">
        <v>12</v>
      </c>
      <c r="B8" s="1" t="s">
        <v>86</v>
      </c>
      <c r="C8" s="1"/>
      <c r="D8" s="1"/>
      <c r="E8" s="1"/>
    </row>
    <row r="9" spans="1:7" ht="21" x14ac:dyDescent="0.35">
      <c r="A9" s="1"/>
      <c r="F9" s="21" t="s">
        <v>93</v>
      </c>
    </row>
    <row r="10" spans="1:7" x14ac:dyDescent="0.25">
      <c r="A10" s="2" t="s">
        <v>14</v>
      </c>
    </row>
    <row r="11" spans="1:7" x14ac:dyDescent="0.25">
      <c r="A11" s="1"/>
    </row>
    <row r="12" spans="1:7" x14ac:dyDescent="0.25">
      <c r="A12" s="2" t="s">
        <v>15</v>
      </c>
      <c r="B12" s="3">
        <v>37</v>
      </c>
      <c r="C12" s="1"/>
      <c r="D12" s="2" t="s">
        <v>16</v>
      </c>
      <c r="E12" s="4">
        <v>43895</v>
      </c>
    </row>
    <row r="13" spans="1:7" x14ac:dyDescent="0.25">
      <c r="A13" s="2" t="s">
        <v>17</v>
      </c>
      <c r="B13" s="3">
        <v>3</v>
      </c>
      <c r="C13" s="1"/>
      <c r="D13" s="2" t="s">
        <v>18</v>
      </c>
      <c r="E13" s="4">
        <v>43895</v>
      </c>
    </row>
    <row r="14" spans="1:7" x14ac:dyDescent="0.25">
      <c r="A14" s="2" t="s">
        <v>19</v>
      </c>
      <c r="B14" s="4">
        <v>43895</v>
      </c>
      <c r="C14" s="1"/>
      <c r="D14" s="1"/>
      <c r="E14" s="1"/>
    </row>
    <row r="15" spans="1:7" ht="15" customHeight="1" x14ac:dyDescent="0.25">
      <c r="A15" s="76" t="s">
        <v>20</v>
      </c>
      <c r="B15" s="76"/>
      <c r="C15" s="76"/>
      <c r="D15" s="76"/>
      <c r="E15" s="76"/>
      <c r="F15" s="76"/>
      <c r="G15" s="76"/>
    </row>
    <row r="16" spans="1:7" ht="15.75" thickBot="1" x14ac:dyDescent="0.3">
      <c r="A16" s="74"/>
      <c r="B16" s="74"/>
      <c r="C16" s="74"/>
      <c r="D16" s="74"/>
      <c r="E16" s="74"/>
      <c r="F16" s="74"/>
      <c r="G16" s="74"/>
    </row>
    <row r="17" spans="1:8" x14ac:dyDescent="0.25">
      <c r="A17" s="78" t="s">
        <v>21</v>
      </c>
      <c r="B17" s="79"/>
      <c r="C17" s="79" t="s">
        <v>22</v>
      </c>
      <c r="D17" s="79" t="s">
        <v>23</v>
      </c>
      <c r="E17" s="79" t="s">
        <v>24</v>
      </c>
      <c r="F17" s="17" t="s">
        <v>25</v>
      </c>
      <c r="G17" s="17" t="s">
        <v>27</v>
      </c>
      <c r="H17" s="18" t="s">
        <v>90</v>
      </c>
    </row>
    <row r="18" spans="1:8" ht="15.75" thickBot="1" x14ac:dyDescent="0.3">
      <c r="A18" s="80"/>
      <c r="B18" s="81"/>
      <c r="C18" s="81"/>
      <c r="D18" s="81"/>
      <c r="E18" s="81"/>
      <c r="F18" s="19" t="s">
        <v>26</v>
      </c>
      <c r="G18" s="19" t="s">
        <v>28</v>
      </c>
      <c r="H18" s="20" t="s">
        <v>91</v>
      </c>
    </row>
    <row r="19" spans="1:8" ht="50.1" customHeight="1" thickBot="1" x14ac:dyDescent="0.3">
      <c r="A19" s="84" t="s">
        <v>29</v>
      </c>
      <c r="B19" s="84"/>
      <c r="C19" s="26" t="s">
        <v>30</v>
      </c>
      <c r="D19" s="26" t="s">
        <v>87</v>
      </c>
      <c r="E19" s="65" t="s">
        <v>118</v>
      </c>
      <c r="F19" s="67">
        <v>0</v>
      </c>
      <c r="G19" s="69">
        <v>1611398</v>
      </c>
      <c r="H19" s="68">
        <v>1152</v>
      </c>
    </row>
    <row r="20" spans="1:8" ht="50.1" customHeight="1" thickBot="1" x14ac:dyDescent="0.3">
      <c r="A20" s="83" t="s">
        <v>29</v>
      </c>
      <c r="B20" s="83"/>
      <c r="C20" s="22" t="s">
        <v>30</v>
      </c>
      <c r="D20" s="22" t="s">
        <v>88</v>
      </c>
      <c r="E20" s="66" t="s">
        <v>119</v>
      </c>
      <c r="F20" s="70">
        <v>0</v>
      </c>
      <c r="G20" s="69">
        <v>1646057</v>
      </c>
      <c r="H20" s="71">
        <v>1153</v>
      </c>
    </row>
    <row r="21" spans="1:8" ht="50.1" customHeight="1" thickBot="1" x14ac:dyDescent="0.3">
      <c r="A21" s="83" t="s">
        <v>29</v>
      </c>
      <c r="B21" s="83"/>
      <c r="C21" s="22" t="s">
        <v>30</v>
      </c>
      <c r="D21" s="22" t="s">
        <v>89</v>
      </c>
      <c r="E21" s="66" t="s">
        <v>120</v>
      </c>
      <c r="F21" s="70">
        <v>0</v>
      </c>
      <c r="G21" s="69">
        <v>1646058</v>
      </c>
      <c r="H21" s="71">
        <v>1154</v>
      </c>
    </row>
    <row r="22" spans="1:8" ht="18" customHeight="1" x14ac:dyDescent="0.25">
      <c r="A22" s="23"/>
      <c r="B22" s="23"/>
      <c r="C22" s="23"/>
      <c r="D22" s="23"/>
      <c r="E22" s="23"/>
      <c r="F22" s="24"/>
      <c r="G22" s="27">
        <f>SUM(G19:G21)</f>
        <v>4903513</v>
      </c>
      <c r="H22" s="25"/>
    </row>
    <row r="23" spans="1:8" x14ac:dyDescent="0.25">
      <c r="A23" s="75"/>
      <c r="B23" s="75"/>
      <c r="C23" s="75"/>
      <c r="D23" s="75"/>
      <c r="E23" s="75"/>
      <c r="F23" s="75"/>
      <c r="G23" s="75"/>
    </row>
    <row r="24" spans="1:8" x14ac:dyDescent="0.25">
      <c r="A24" s="8"/>
      <c r="B24" s="8"/>
      <c r="C24" s="8"/>
      <c r="D24" s="8"/>
      <c r="E24" s="8"/>
      <c r="F24" s="8"/>
      <c r="G24" s="8"/>
    </row>
    <row r="25" spans="1:8" x14ac:dyDescent="0.25">
      <c r="A25" s="8"/>
      <c r="B25" s="8"/>
      <c r="C25" s="8"/>
      <c r="D25" s="8"/>
      <c r="E25" s="8"/>
      <c r="F25" s="8"/>
      <c r="G25" s="8"/>
    </row>
    <row r="26" spans="1:8" x14ac:dyDescent="0.25">
      <c r="A26" s="8"/>
      <c r="B26" s="8"/>
      <c r="C26" s="8"/>
      <c r="D26" s="8"/>
      <c r="E26" s="8"/>
      <c r="F26" s="8"/>
      <c r="G26" s="8"/>
    </row>
    <row r="27" spans="1:8" x14ac:dyDescent="0.25">
      <c r="A27" s="8"/>
      <c r="B27" s="8"/>
      <c r="C27" s="8"/>
      <c r="D27" s="8"/>
      <c r="E27" s="8"/>
      <c r="F27" s="8"/>
      <c r="G27" s="8"/>
    </row>
    <row r="28" spans="1:8" x14ac:dyDescent="0.25">
      <c r="A28" s="8"/>
      <c r="B28" s="8"/>
      <c r="C28" s="8"/>
      <c r="D28" s="8"/>
      <c r="E28" s="8"/>
      <c r="F28" s="8"/>
      <c r="G28" s="8"/>
    </row>
    <row r="29" spans="1:8" x14ac:dyDescent="0.25">
      <c r="A29" s="74"/>
      <c r="B29" s="74"/>
      <c r="C29" s="74"/>
      <c r="D29" s="74"/>
      <c r="E29" s="74"/>
      <c r="F29" s="74"/>
      <c r="G29" s="74"/>
    </row>
    <row r="30" spans="1:8" ht="15" customHeight="1" x14ac:dyDescent="0.25">
      <c r="A30" s="76" t="s">
        <v>79</v>
      </c>
      <c r="B30" s="76"/>
      <c r="C30" s="76"/>
      <c r="D30" s="76"/>
      <c r="E30" s="76"/>
      <c r="F30" s="76"/>
      <c r="G30" s="76"/>
    </row>
    <row r="31" spans="1:8" x14ac:dyDescent="0.25">
      <c r="A31" s="74"/>
      <c r="B31" s="74"/>
      <c r="C31" s="74"/>
      <c r="D31" s="74"/>
      <c r="E31" s="74"/>
      <c r="F31" s="74"/>
      <c r="G31" s="74"/>
    </row>
    <row r="32" spans="1:8" x14ac:dyDescent="0.25">
      <c r="A32" s="10" t="s">
        <v>80</v>
      </c>
      <c r="B32" s="11">
        <v>2505017366</v>
      </c>
      <c r="C32" s="12"/>
    </row>
    <row r="33" spans="1:3" x14ac:dyDescent="0.25">
      <c r="A33" s="10" t="s">
        <v>81</v>
      </c>
      <c r="B33" s="13">
        <v>0</v>
      </c>
      <c r="C33" s="12"/>
    </row>
    <row r="34" spans="1:3" x14ac:dyDescent="0.25">
      <c r="A34" s="10" t="s">
        <v>82</v>
      </c>
      <c r="B34" s="13">
        <v>0</v>
      </c>
      <c r="C34" s="12"/>
    </row>
    <row r="35" spans="1:3" x14ac:dyDescent="0.25">
      <c r="A35" s="10" t="s">
        <v>83</v>
      </c>
      <c r="B35" s="13">
        <v>0</v>
      </c>
      <c r="C35" s="14">
        <f>B35+B36</f>
        <v>4903513</v>
      </c>
    </row>
    <row r="36" spans="1:3" x14ac:dyDescent="0.25">
      <c r="A36" s="10" t="s">
        <v>84</v>
      </c>
      <c r="B36" s="11">
        <v>4903513</v>
      </c>
      <c r="C36" s="12"/>
    </row>
    <row r="37" spans="1:3" x14ac:dyDescent="0.25">
      <c r="A37" s="10" t="s">
        <v>85</v>
      </c>
      <c r="B37" s="15">
        <v>2509920879</v>
      </c>
      <c r="C37" s="12"/>
    </row>
    <row r="38" spans="1:3" x14ac:dyDescent="0.25">
      <c r="A38" s="9"/>
    </row>
    <row r="39" spans="1:3" x14ac:dyDescent="0.25">
      <c r="A39" s="9"/>
    </row>
    <row r="40" spans="1:3" x14ac:dyDescent="0.25">
      <c r="A40" s="9"/>
    </row>
  </sheetData>
  <mergeCells count="17">
    <mergeCell ref="A20:B20"/>
    <mergeCell ref="A1:E1"/>
    <mergeCell ref="A2:F2"/>
    <mergeCell ref="A3:E3"/>
    <mergeCell ref="A4:E4"/>
    <mergeCell ref="A15:G15"/>
    <mergeCell ref="A16:G16"/>
    <mergeCell ref="A17:B18"/>
    <mergeCell ref="C17:C18"/>
    <mergeCell ref="D17:D18"/>
    <mergeCell ref="E17:E18"/>
    <mergeCell ref="A19:B19"/>
    <mergeCell ref="A21:B21"/>
    <mergeCell ref="A23:G23"/>
    <mergeCell ref="A29:G29"/>
    <mergeCell ref="A30:G30"/>
    <mergeCell ref="A31:G31"/>
  </mergeCells>
  <pageMargins left="0.7" right="0.7" top="0.75" bottom="0.75" header="0.3" footer="0.3"/>
  <pageSetup scale="73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9210059</vt:lpstr>
      <vt:lpstr>9210920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Andrade Navarro, Luis Pablo, CENABAST</dc:creator>
  <cp:lastModifiedBy>Bahamondes Mendez, Paola Gladys, CENABAST</cp:lastModifiedBy>
  <cp:lastPrinted>2020-03-17T13:30:39Z</cp:lastPrinted>
  <dcterms:created xsi:type="dcterms:W3CDTF">2020-03-06T12:51:41Z</dcterms:created>
  <dcterms:modified xsi:type="dcterms:W3CDTF">2020-03-24T17:14:57Z</dcterms:modified>
</cp:coreProperties>
</file>