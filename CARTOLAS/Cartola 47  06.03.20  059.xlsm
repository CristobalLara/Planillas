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454899EA-A50D-4018-A2BE-5E60D29489F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9" i="2" l="1"/>
  <c r="G25" i="2"/>
  <c r="G55" i="2"/>
  <c r="G49" i="2"/>
  <c r="G43" i="2"/>
  <c r="G35" i="2"/>
  <c r="G31" i="2"/>
  <c r="C67" i="2" l="1"/>
</calcChain>
</file>

<file path=xl/sharedStrings.xml><?xml version="1.0" encoding="utf-8"?>
<sst xmlns="http://schemas.openxmlformats.org/spreadsheetml/2006/main" count="225" uniqueCount="112">
  <si>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</si>
  <si>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</si>
  <si>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</si>
  <si>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</si>
  <si>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</si>
  <si>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</si>
  <si>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</si>
  <si>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</si>
  <si>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</si>
  <si>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</si>
  <si>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</si>
  <si>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</si>
  <si>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</si>
  <si>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</si>
  <si>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</si>
  <si>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</si>
  <si>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</si>
  <si>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</si>
  <si>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</si>
  <si>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</si>
  <si>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</si>
  <si>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</si>
  <si>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</si>
  <si>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</si>
  <si>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</si>
  <si>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</si>
  <si>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</si>
  <si>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</si>
  <si>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</si>
  <si>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06-03-2020  </t>
  </si>
  <si>
    <t>STGO.PRINCIPAL </t>
  </si>
  <si>
    <t>7125931 </t>
  </si>
  <si>
    <t>CARGO TRANSFERENCIA PAG ALTO VALOR INTERN</t>
  </si>
  <si>
    <t>0205533 </t>
  </si>
  <si>
    <t>SN VCTE.DE T.T. </t>
  </si>
  <si>
    <t>4504970 </t>
  </si>
  <si>
    <t>0207664 </t>
  </si>
  <si>
    <t>0205459 </t>
  </si>
  <si>
    <t>0205572 </t>
  </si>
  <si>
    <t>0203505 </t>
  </si>
  <si>
    <t>0212025 </t>
  </si>
  <si>
    <t>0204382 </t>
  </si>
  <si>
    <t>PAINE </t>
  </si>
  <si>
    <t>2154900 </t>
  </si>
  <si>
    <t>0204797 </t>
  </si>
  <si>
    <t>0203078 </t>
  </si>
  <si>
    <t>0215722 </t>
  </si>
  <si>
    <t>RCAGUA ASTORGA </t>
  </si>
  <si>
    <t>3511360 </t>
  </si>
  <si>
    <t>0206266 </t>
  </si>
  <si>
    <t>1350016 </t>
  </si>
  <si>
    <t>PUERTO MONTT </t>
  </si>
  <si>
    <t>2001250 </t>
  </si>
  <si>
    <t>0206541 </t>
  </si>
  <si>
    <t>0001077 </t>
  </si>
  <si>
    <t>TRANSFERENCIA OTRO BANCO DE I MUNICIPALIDAD DE VILLARRICA</t>
  </si>
  <si>
    <t>CONSTITUCION </t>
  </si>
  <si>
    <t>0000530 </t>
  </si>
  <si>
    <t>0216675 </t>
  </si>
  <si>
    <t>0216677 </t>
  </si>
  <si>
    <t>TRANSFERENCIA OTRO BANCO DE TERCERO</t>
  </si>
  <si>
    <t>0203069 </t>
  </si>
  <si>
    <t>0401753 </t>
  </si>
  <si>
    <t>0208129 </t>
  </si>
  <si>
    <t>2154920 </t>
  </si>
  <si>
    <t>0216691 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</si>
  <si>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</si>
  <si>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</si>
  <si>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</si>
  <si>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</si>
  <si>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</si>
  <si>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</si>
  <si>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</si>
  <si>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</si>
  <si>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</si>
  <si>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 Comprobantes</t>
  </si>
  <si>
    <t>0203648 </t>
  </si>
  <si>
    <t>09-03-2020  </t>
  </si>
  <si>
    <t>CENTRAL DE ABASTECIMIENTOS SNS EQUIP Y</t>
  </si>
  <si>
    <t>DEPOSITO CON DOCUMENTOS MUNICIPALIDAD DE EMPEDRADO</t>
  </si>
  <si>
    <t>ABONO PAGO A PROVEEDORES HOSPITAL DE CUNCO</t>
  </si>
  <si>
    <t>ABONO PAGO A PROVEEDORES CONSULTORIO DE MIRAFLORES</t>
  </si>
  <si>
    <t>TOTAL</t>
  </si>
  <si>
    <t>ABONO PAGO A PROVEEDORES HOSPITAL PADRE ALBERTO HURTADO</t>
  </si>
  <si>
    <t>ABONO PAGO A PROVEEDORES HOSPITAL DE OSORNO</t>
  </si>
  <si>
    <t>ABONO PAGO A PROVEEDORES SERVICIO DE SALUD DE CONCEPCION</t>
  </si>
  <si>
    <t>ABONO PAGO A PROVEEDORES HOSPITAL CLINICO SAN BORJA ARRIARAN</t>
  </si>
  <si>
    <t>ABONO PAGO A PROVEEDORES MUNICIPALIDAD EL CARMEN</t>
  </si>
  <si>
    <t>ABONO PAGO A PROVEEDORES HOSPITAL DE ANTOFAGASTA</t>
  </si>
  <si>
    <t>ABONO PAGO A PROVEEDORES HOSPITAL DE MARCHIGUE</t>
  </si>
  <si>
    <t>ABONO PAGO A PROVEEDORES HOSPITAL DE PENCO-LIRQUEN</t>
  </si>
  <si>
    <t xml:space="preserve"> ABONO PAGO A PROVEEDORES MUNICIPALIDAD DE PARRAL</t>
  </si>
  <si>
    <t>ABONO PAGO A PROVEEDORES HOSPITAL DE PUERTO AYSEN</t>
  </si>
  <si>
    <t>ABONO PAGO A PROVEEDORES MUNICIPALIDAD DE VICUÑA</t>
  </si>
  <si>
    <t>ABONO PAGO A PROVEEDORES HOSPITAL DE CASTRO</t>
  </si>
  <si>
    <t>ABONO PAGO A PROVEEDORES HOSPITAL DE ALTO PALENA</t>
  </si>
  <si>
    <t>ABONO PAGO A PROVEEDORES HOSPITAL DE CHAITEN</t>
  </si>
  <si>
    <t>ABONOS VARIOS MUNICIPALIDAD DE CAÑETE</t>
  </si>
  <si>
    <t>STGO.PRINCIPAL       71.173.100-8</t>
  </si>
  <si>
    <t>PAGOS VARIOS DESDE BCO BCI CORPORACION MUNICIPAL DE QUELLON</t>
  </si>
  <si>
    <t>69.190.700-7 STGO.PRINCIPAL </t>
  </si>
  <si>
    <t>PAGOS VARIOS DESDE BCO BCI MUNICIPALIDAD DE TEMUCO</t>
  </si>
  <si>
    <t>DEPOSITO CON DOCUMENTOS ARZOBISPADO DE PUERTO MONTT</t>
  </si>
  <si>
    <t>DEPOSITO CON DOCUMENTOS MUNICIPALIDAD DE PAINE</t>
  </si>
  <si>
    <t>DEPOSITO CON DOCUMENTOS HOSPITAL DE RANCAGUA</t>
  </si>
  <si>
    <t>DEPOSITO CON DOCUMENTOS MUNICIPALIDAD DE SAN VICENTE DE TAGUA TAGUA</t>
  </si>
  <si>
    <t>ABONO PAGO A PROVEEDORES HOSPITAL DE PUNTA ARENAS</t>
  </si>
  <si>
    <t>12  COMPROBANTE</t>
  </si>
  <si>
    <t>NUMERO</t>
  </si>
  <si>
    <t>INGRESO</t>
  </si>
  <si>
    <t>ABONO PAGO A PROVEEDORES HOSPITAL PUERTO CISNES</t>
  </si>
  <si>
    <t>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</si>
</sst>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3" fontId="21" fillId="0" borderId="0" xfId="0" applyNumberFormat="1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3" fontId="21" fillId="0" borderId="11" xfId="0" applyNumberFormat="1" applyFont="1" applyBorder="1" applyAlignment="1">
      <alignment horizontal="right" wrapText="1"/>
    </xf>
    <xf numFmtId="0" fontId="0" fillId="0" borderId="11" xfId="0" applyBorder="1" applyAlignment="1">
      <alignment wrapText="1"/>
    </xf>
    <xf numFmtId="0" fontId="21" fillId="0" borderId="11" xfId="0" applyFont="1" applyBorder="1" applyAlignment="1">
      <alignment horizontal="right"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right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1" xfId="0" applyBorder="1" applyAlignment="1">
      <alignment vertical="center" wrapText="1"/>
    </xf>
    <xf numFmtId="0" fontId="16" fillId="0" borderId="11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21" fillId="0" borderId="21" xfId="0" applyFont="1" applyBorder="1" applyAlignment="1">
      <alignment horizontal="right" wrapText="1"/>
    </xf>
    <xf numFmtId="0" fontId="0" fillId="0" borderId="22" xfId="0" applyBorder="1"/>
    <xf numFmtId="0" fontId="0" fillId="0" borderId="21" xfId="0" applyBorder="1" applyAlignment="1">
      <alignment wrapText="1"/>
    </xf>
    <xf numFmtId="0" fontId="0" fillId="0" borderId="23" xfId="0" applyBorder="1" applyAlignment="1">
      <alignment wrapText="1"/>
    </xf>
    <xf numFmtId="0" fontId="16" fillId="0" borderId="23" xfId="0" applyFont="1" applyBorder="1" applyAlignment="1">
      <alignment wrapText="1"/>
    </xf>
    <xf numFmtId="0" fontId="21" fillId="0" borderId="24" xfId="0" applyFont="1" applyBorder="1" applyAlignment="1">
      <alignment horizontal="right" wrapText="1"/>
    </xf>
    <xf numFmtId="3" fontId="23" fillId="0" borderId="25" xfId="0" applyNumberFormat="1" applyFont="1" applyBorder="1" applyAlignment="1">
      <alignment horizontal="right" wrapText="1"/>
    </xf>
    <xf numFmtId="0" fontId="16" fillId="0" borderId="13" xfId="0" applyFont="1" applyBorder="1" applyAlignment="1">
      <alignment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2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3" fontId="23" fillId="0" borderId="26" xfId="0" applyNumberFormat="1" applyFont="1" applyBorder="1" applyAlignment="1">
      <alignment horizontal="right" wrapText="1"/>
    </xf>
    <xf numFmtId="0" fontId="0" fillId="0" borderId="20" xfId="0" applyBorder="1" applyAlignment="1">
      <alignment vertical="center"/>
    </xf>
    <xf numFmtId="0" fontId="24" fillId="0" borderId="20" xfId="0" applyFont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16" fillId="0" borderId="11" xfId="0" applyFont="1" applyBorder="1" applyAlignment="1">
      <alignment vertical="center" wrapText="1"/>
    </xf>
    <xf numFmtId="0" fontId="21" fillId="0" borderId="19" xfId="0" applyFont="1" applyBorder="1" applyAlignment="1">
      <alignment horizontal="right" vertical="center" wrapText="1"/>
    </xf>
    <xf numFmtId="3" fontId="23" fillId="0" borderId="18" xfId="0" applyNumberFormat="1" applyFont="1" applyBorder="1" applyAlignment="1">
      <alignment horizontal="right" vertical="center" wrapText="1"/>
    </xf>
    <xf numFmtId="0" fontId="16" fillId="0" borderId="0" xfId="0" applyFont="1"/>
    <xf numFmtId="0" fontId="25" fillId="0" borderId="22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1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0" xfId="0" applyAlignment="1">
      <alignment horizontal="right"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0" fillId="0" borderId="11" xfId="0" applyBorder="1" applyAlignment="1">
      <alignment wrapText="1"/>
    </xf>
    <xf numFmtId="0" fontId="0" fillId="0" borderId="11" xfId="0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72"/>
  <sheetViews>
    <sheetView showGridLines="0" tabSelected="1" topLeftCell="A44" workbookViewId="0">
      <selection activeCell="H57" sqref="H57"/>
    </sheetView>
  </sheetViews>
  <sheetFormatPr baseColWidth="10" defaultRowHeight="15" x14ac:dyDescent="0.25"/>
  <cols>
    <col min="1" max="1" width="17.85546875" bestFit="1" customWidth="1"/>
    <col min="2" max="2" width="16.5703125" customWidth="1"/>
    <col min="3" max="3" width="17.85546875" bestFit="1" customWidth="1"/>
    <col min="4" max="4" width="12.7109375" bestFit="1" customWidth="1"/>
    <col min="5" max="5" width="45.7109375" bestFit="1" customWidth="1"/>
    <col min="6" max="6" width="12.7109375" bestFit="1" customWidth="1"/>
    <col min="7" max="7" width="11.140625" bestFit="1" customWidth="1"/>
  </cols>
  <sheetData>
    <row r="1" spans="1:7" ht="18" customHeight="1" x14ac:dyDescent="0.25">
      <c r="A1" s="62" t="s">
        <v>0</v>
      </c>
      <c r="B1" s="62"/>
      <c r="C1" s="62"/>
      <c r="D1" s="62"/>
      <c r="E1" s="62"/>
    </row>
    <row r="2" spans="1:7" x14ac:dyDescent="0.25">
      <c r="A2" s="57"/>
      <c r="B2" s="57"/>
      <c r="C2" s="57"/>
      <c r="D2" s="57"/>
      <c r="E2" s="57"/>
      <c r="F2" s="57"/>
    </row>
    <row r="3" spans="1:7" ht="15" customHeight="1" x14ac:dyDescent="0.25">
      <c r="A3" s="58" t="s">
        <v>1</v>
      </c>
      <c r="B3" s="58"/>
      <c r="C3" s="58"/>
      <c r="D3" s="58"/>
      <c r="E3" s="58"/>
    </row>
    <row r="4" spans="1:7" x14ac:dyDescent="0.25">
      <c r="A4" s="57"/>
      <c r="B4" s="57"/>
      <c r="C4" s="57"/>
      <c r="D4" s="57"/>
      <c r="E4" s="57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43902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0" t="s">
        <v>75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47</v>
      </c>
      <c r="C12" s="1"/>
      <c r="D12" s="2" t="s">
        <v>16</v>
      </c>
      <c r="E12" s="4">
        <v>43896</v>
      </c>
    </row>
    <row r="13" spans="1:7" x14ac:dyDescent="0.25">
      <c r="A13" s="2" t="s">
        <v>17</v>
      </c>
      <c r="B13" s="3">
        <v>34</v>
      </c>
      <c r="C13" s="1"/>
      <c r="D13" s="2" t="s">
        <v>18</v>
      </c>
      <c r="E13" s="4">
        <v>43896</v>
      </c>
    </row>
    <row r="14" spans="1:7" x14ac:dyDescent="0.25">
      <c r="A14" s="2" t="s">
        <v>19</v>
      </c>
      <c r="B14" s="4">
        <v>43896</v>
      </c>
      <c r="C14" s="1"/>
      <c r="D14" s="1"/>
      <c r="E14" s="1"/>
    </row>
    <row r="15" spans="1:7" ht="15" customHeight="1" x14ac:dyDescent="0.25">
      <c r="A15" s="58" t="s">
        <v>20</v>
      </c>
      <c r="B15" s="58"/>
      <c r="C15" s="58"/>
      <c r="D15" s="58"/>
      <c r="E15" s="58"/>
      <c r="F15" s="58"/>
      <c r="G15" s="58"/>
    </row>
    <row r="16" spans="1:7" ht="15.75" thickBot="1" x14ac:dyDescent="0.3">
      <c r="A16" s="57"/>
      <c r="B16" s="57"/>
      <c r="C16" s="57"/>
      <c r="D16" s="57"/>
      <c r="E16" s="57"/>
      <c r="F16" s="57"/>
      <c r="G16" s="57"/>
    </row>
    <row r="17" spans="1:8" x14ac:dyDescent="0.25">
      <c r="A17" s="63" t="s">
        <v>21</v>
      </c>
      <c r="B17" s="64"/>
      <c r="C17" s="64" t="s">
        <v>22</v>
      </c>
      <c r="D17" s="64" t="s">
        <v>23</v>
      </c>
      <c r="E17" s="64" t="s">
        <v>24</v>
      </c>
      <c r="F17" s="16" t="s">
        <v>25</v>
      </c>
      <c r="G17" s="16" t="s">
        <v>27</v>
      </c>
      <c r="H17" s="17" t="s">
        <v>73</v>
      </c>
    </row>
    <row r="18" spans="1:8" ht="15.75" thickBot="1" x14ac:dyDescent="0.3">
      <c r="A18" s="65"/>
      <c r="B18" s="66"/>
      <c r="C18" s="66"/>
      <c r="D18" s="66"/>
      <c r="E18" s="66"/>
      <c r="F18" s="18" t="s">
        <v>26</v>
      </c>
      <c r="G18" s="18" t="s">
        <v>28</v>
      </c>
      <c r="H18" s="19" t="s">
        <v>74</v>
      </c>
    </row>
    <row r="19" spans="1:8" ht="31.5" thickBot="1" x14ac:dyDescent="0.35">
      <c r="A19" s="67" t="s">
        <v>29</v>
      </c>
      <c r="B19" s="67"/>
      <c r="C19" s="14" t="s">
        <v>56</v>
      </c>
      <c r="D19" s="14" t="s">
        <v>57</v>
      </c>
      <c r="E19" s="28" t="s">
        <v>79</v>
      </c>
      <c r="F19" s="29">
        <v>0</v>
      </c>
      <c r="G19" s="30">
        <v>26739</v>
      </c>
      <c r="H19" s="49">
        <v>1051</v>
      </c>
    </row>
    <row r="20" spans="1:8" ht="31.5" thickBot="1" x14ac:dyDescent="0.35">
      <c r="A20" s="59" t="s">
        <v>29</v>
      </c>
      <c r="B20" s="59"/>
      <c r="C20" s="7" t="s">
        <v>30</v>
      </c>
      <c r="D20" s="7" t="s">
        <v>54</v>
      </c>
      <c r="E20" s="31" t="s">
        <v>55</v>
      </c>
      <c r="F20" s="32">
        <v>0</v>
      </c>
      <c r="G20" s="30">
        <v>21316</v>
      </c>
      <c r="H20" s="50">
        <v>1052</v>
      </c>
    </row>
    <row r="21" spans="1:8" ht="20.100000000000001" customHeight="1" thickBot="1" x14ac:dyDescent="0.3">
      <c r="A21" s="59" t="s">
        <v>29</v>
      </c>
      <c r="B21" s="59"/>
      <c r="C21" s="7" t="s">
        <v>30</v>
      </c>
      <c r="D21" s="7" t="s">
        <v>54</v>
      </c>
      <c r="E21" s="31" t="s">
        <v>60</v>
      </c>
      <c r="F21" s="32">
        <v>0</v>
      </c>
      <c r="G21" s="30">
        <v>49033</v>
      </c>
      <c r="H21" s="55" t="s">
        <v>111</v>
      </c>
    </row>
    <row r="22" spans="1:8" ht="31.5" thickBot="1" x14ac:dyDescent="0.35">
      <c r="A22" s="59" t="s">
        <v>29</v>
      </c>
      <c r="B22" s="59"/>
      <c r="C22" s="7" t="s">
        <v>30</v>
      </c>
      <c r="D22" s="35" t="s">
        <v>61</v>
      </c>
      <c r="E22" s="36" t="s">
        <v>80</v>
      </c>
      <c r="F22" s="37">
        <v>0</v>
      </c>
      <c r="G22" s="38">
        <v>95460</v>
      </c>
      <c r="H22" s="50">
        <v>1053</v>
      </c>
    </row>
    <row r="23" spans="1:8" ht="30.75" x14ac:dyDescent="0.3">
      <c r="A23" s="59" t="s">
        <v>29</v>
      </c>
      <c r="B23" s="59"/>
      <c r="C23" s="34" t="s">
        <v>30</v>
      </c>
      <c r="D23" s="42" t="s">
        <v>45</v>
      </c>
      <c r="E23" s="39" t="s">
        <v>81</v>
      </c>
      <c r="F23" s="43">
        <v>0</v>
      </c>
      <c r="G23" s="40">
        <v>2299612</v>
      </c>
      <c r="H23" s="50">
        <v>1054</v>
      </c>
    </row>
    <row r="24" spans="1:8" ht="31.5" thickBot="1" x14ac:dyDescent="0.35">
      <c r="A24" s="59" t="s">
        <v>29</v>
      </c>
      <c r="B24" s="59"/>
      <c r="C24" s="34" t="s">
        <v>30</v>
      </c>
      <c r="D24" s="44" t="s">
        <v>45</v>
      </c>
      <c r="E24" s="41" t="s">
        <v>81</v>
      </c>
      <c r="F24" s="45">
        <v>0</v>
      </c>
      <c r="G24" s="46">
        <v>3748671</v>
      </c>
      <c r="H24" s="50">
        <v>1055</v>
      </c>
    </row>
    <row r="25" spans="1:8" ht="15.75" thickBot="1" x14ac:dyDescent="0.3">
      <c r="A25" s="25"/>
      <c r="B25" s="25"/>
      <c r="C25" s="25"/>
      <c r="D25" s="26"/>
      <c r="E25" s="28"/>
      <c r="F25" s="29" t="s">
        <v>82</v>
      </c>
      <c r="G25" s="30">
        <f>SUM(G23:G24)</f>
        <v>6048283</v>
      </c>
      <c r="H25" s="33"/>
    </row>
    <row r="26" spans="1:8" ht="32.25" thickBot="1" x14ac:dyDescent="0.4">
      <c r="A26" s="59" t="s">
        <v>29</v>
      </c>
      <c r="B26" s="59"/>
      <c r="C26" s="7" t="s">
        <v>30</v>
      </c>
      <c r="D26" s="7" t="s">
        <v>39</v>
      </c>
      <c r="E26" s="31" t="s">
        <v>83</v>
      </c>
      <c r="F26" s="32">
        <v>0</v>
      </c>
      <c r="G26" s="30">
        <v>5658702</v>
      </c>
      <c r="H26" s="56">
        <v>1121</v>
      </c>
    </row>
    <row r="27" spans="1:8" ht="32.25" thickBot="1" x14ac:dyDescent="0.4">
      <c r="A27" s="59" t="s">
        <v>29</v>
      </c>
      <c r="B27" s="59"/>
      <c r="C27" s="7" t="s">
        <v>30</v>
      </c>
      <c r="D27" s="7" t="s">
        <v>41</v>
      </c>
      <c r="E27" s="31" t="s">
        <v>84</v>
      </c>
      <c r="F27" s="32">
        <v>0</v>
      </c>
      <c r="G27" s="30">
        <v>427829</v>
      </c>
      <c r="H27" s="56">
        <v>1122</v>
      </c>
    </row>
    <row r="28" spans="1:8" ht="32.25" thickBot="1" x14ac:dyDescent="0.4">
      <c r="A28" s="59" t="s">
        <v>29</v>
      </c>
      <c r="B28" s="59"/>
      <c r="C28" s="7" t="s">
        <v>30</v>
      </c>
      <c r="D28" s="35" t="s">
        <v>44</v>
      </c>
      <c r="E28" s="36" t="s">
        <v>85</v>
      </c>
      <c r="F28" s="37">
        <v>0</v>
      </c>
      <c r="G28" s="38">
        <v>1620532</v>
      </c>
      <c r="H28" s="56">
        <v>1123</v>
      </c>
    </row>
    <row r="29" spans="1:8" ht="31.5" x14ac:dyDescent="0.35">
      <c r="A29" s="59" t="s">
        <v>29</v>
      </c>
      <c r="B29" s="59"/>
      <c r="C29" s="34" t="s">
        <v>30</v>
      </c>
      <c r="D29" s="42" t="s">
        <v>37</v>
      </c>
      <c r="E29" s="39" t="s">
        <v>86</v>
      </c>
      <c r="F29" s="43">
        <v>0</v>
      </c>
      <c r="G29" s="40">
        <v>11448954</v>
      </c>
      <c r="H29" s="56"/>
    </row>
    <row r="30" spans="1:8" ht="32.25" thickBot="1" x14ac:dyDescent="0.4">
      <c r="A30" s="59" t="s">
        <v>29</v>
      </c>
      <c r="B30" s="59"/>
      <c r="C30" s="34" t="s">
        <v>30</v>
      </c>
      <c r="D30" s="44" t="s">
        <v>37</v>
      </c>
      <c r="E30" s="41" t="s">
        <v>86</v>
      </c>
      <c r="F30" s="45">
        <v>0</v>
      </c>
      <c r="G30" s="46">
        <v>11802394</v>
      </c>
      <c r="H30" s="56"/>
    </row>
    <row r="31" spans="1:8" ht="20.100000000000001" customHeight="1" thickBot="1" x14ac:dyDescent="0.4">
      <c r="A31" s="25"/>
      <c r="B31" s="25"/>
      <c r="C31" s="25"/>
      <c r="D31" s="26"/>
      <c r="E31" s="26"/>
      <c r="F31" s="29" t="s">
        <v>82</v>
      </c>
      <c r="G31" s="47">
        <f>SUM(G29:G30)</f>
        <v>23251348</v>
      </c>
      <c r="H31" s="56">
        <v>1124</v>
      </c>
    </row>
    <row r="32" spans="1:8" ht="32.25" thickBot="1" x14ac:dyDescent="0.4">
      <c r="A32" s="59" t="s">
        <v>29</v>
      </c>
      <c r="B32" s="59"/>
      <c r="C32" s="7" t="s">
        <v>30</v>
      </c>
      <c r="D32" s="35" t="s">
        <v>33</v>
      </c>
      <c r="E32" s="36" t="s">
        <v>87</v>
      </c>
      <c r="F32" s="37">
        <v>0</v>
      </c>
      <c r="G32" s="38">
        <v>1432</v>
      </c>
      <c r="H32" s="56">
        <v>1125</v>
      </c>
    </row>
    <row r="33" spans="1:8" ht="31.5" x14ac:dyDescent="0.35">
      <c r="A33" s="59" t="s">
        <v>29</v>
      </c>
      <c r="B33" s="59"/>
      <c r="C33" s="34" t="s">
        <v>30</v>
      </c>
      <c r="D33" s="42" t="s">
        <v>38</v>
      </c>
      <c r="E33" s="39" t="s">
        <v>88</v>
      </c>
      <c r="F33" s="43">
        <v>0</v>
      </c>
      <c r="G33" s="40">
        <v>4127211</v>
      </c>
      <c r="H33" s="56"/>
    </row>
    <row r="34" spans="1:8" ht="32.25" thickBot="1" x14ac:dyDescent="0.4">
      <c r="A34" s="59" t="s">
        <v>29</v>
      </c>
      <c r="B34" s="59"/>
      <c r="C34" s="34" t="s">
        <v>30</v>
      </c>
      <c r="D34" s="44" t="s">
        <v>38</v>
      </c>
      <c r="E34" s="41" t="s">
        <v>88</v>
      </c>
      <c r="F34" s="45">
        <v>0</v>
      </c>
      <c r="G34" s="46">
        <v>4190840</v>
      </c>
      <c r="H34" s="56"/>
    </row>
    <row r="35" spans="1:8" ht="20.100000000000001" customHeight="1" thickBot="1" x14ac:dyDescent="0.4">
      <c r="A35" s="25"/>
      <c r="B35" s="25"/>
      <c r="C35" s="25"/>
      <c r="D35" s="26"/>
      <c r="E35" s="26"/>
      <c r="F35" s="29" t="s">
        <v>82</v>
      </c>
      <c r="G35" s="47">
        <f>SUM(G33:G34)</f>
        <v>8318051</v>
      </c>
      <c r="H35" s="56">
        <v>1126</v>
      </c>
    </row>
    <row r="36" spans="1:8" ht="32.25" thickBot="1" x14ac:dyDescent="0.4">
      <c r="A36" s="59" t="s">
        <v>29</v>
      </c>
      <c r="B36" s="59"/>
      <c r="C36" s="7" t="s">
        <v>30</v>
      </c>
      <c r="D36" s="7" t="s">
        <v>49</v>
      </c>
      <c r="E36" s="31" t="s">
        <v>89</v>
      </c>
      <c r="F36" s="32">
        <v>0</v>
      </c>
      <c r="G36" s="30">
        <v>10657</v>
      </c>
      <c r="H36" s="56">
        <v>1127</v>
      </c>
    </row>
    <row r="37" spans="1:8" ht="32.25" thickBot="1" x14ac:dyDescent="0.4">
      <c r="A37" s="59" t="s">
        <v>29</v>
      </c>
      <c r="B37" s="59"/>
      <c r="C37" s="7" t="s">
        <v>30</v>
      </c>
      <c r="D37" s="7" t="s">
        <v>53</v>
      </c>
      <c r="E37" s="31" t="s">
        <v>90</v>
      </c>
      <c r="F37" s="32">
        <v>0</v>
      </c>
      <c r="G37" s="30">
        <v>21314</v>
      </c>
      <c r="H37" s="56">
        <v>1128</v>
      </c>
    </row>
    <row r="38" spans="1:8" ht="32.25" thickBot="1" x14ac:dyDescent="0.4">
      <c r="A38" s="59" t="s">
        <v>29</v>
      </c>
      <c r="B38" s="59"/>
      <c r="C38" s="7" t="s">
        <v>30</v>
      </c>
      <c r="D38" s="7" t="s">
        <v>36</v>
      </c>
      <c r="E38" s="31" t="s">
        <v>91</v>
      </c>
      <c r="F38" s="32">
        <v>0</v>
      </c>
      <c r="G38" s="30">
        <v>9932</v>
      </c>
      <c r="H38" s="56">
        <v>1129</v>
      </c>
    </row>
    <row r="39" spans="1:8" ht="32.25" thickBot="1" x14ac:dyDescent="0.4">
      <c r="A39" s="59" t="s">
        <v>29</v>
      </c>
      <c r="B39" s="59"/>
      <c r="C39" s="7" t="s">
        <v>30</v>
      </c>
      <c r="D39" s="7" t="s">
        <v>63</v>
      </c>
      <c r="E39" s="31" t="s">
        <v>92</v>
      </c>
      <c r="F39" s="32">
        <v>0</v>
      </c>
      <c r="G39" s="30">
        <v>134769</v>
      </c>
      <c r="H39" s="56">
        <v>1130</v>
      </c>
    </row>
    <row r="40" spans="1:8" ht="32.25" thickBot="1" x14ac:dyDescent="0.4">
      <c r="A40" s="59" t="s">
        <v>29</v>
      </c>
      <c r="B40" s="59"/>
      <c r="C40" s="7" t="s">
        <v>30</v>
      </c>
      <c r="D40" s="35" t="s">
        <v>40</v>
      </c>
      <c r="E40" s="36" t="s">
        <v>93</v>
      </c>
      <c r="F40" s="37">
        <v>0</v>
      </c>
      <c r="G40" s="38">
        <v>7960005</v>
      </c>
      <c r="H40" s="56">
        <v>1131</v>
      </c>
    </row>
    <row r="41" spans="1:8" ht="31.5" x14ac:dyDescent="0.35">
      <c r="A41" s="59" t="s">
        <v>29</v>
      </c>
      <c r="B41" s="59"/>
      <c r="C41" s="34" t="s">
        <v>30</v>
      </c>
      <c r="D41" s="42" t="s">
        <v>46</v>
      </c>
      <c r="E41" s="39" t="s">
        <v>94</v>
      </c>
      <c r="F41" s="43">
        <v>0</v>
      </c>
      <c r="G41" s="40">
        <v>2681525</v>
      </c>
      <c r="H41" s="56"/>
    </row>
    <row r="42" spans="1:8" ht="32.25" thickBot="1" x14ac:dyDescent="0.4">
      <c r="A42" s="59" t="s">
        <v>29</v>
      </c>
      <c r="B42" s="59"/>
      <c r="C42" s="34" t="s">
        <v>30</v>
      </c>
      <c r="D42" s="44" t="s">
        <v>46</v>
      </c>
      <c r="E42" s="41" t="s">
        <v>94</v>
      </c>
      <c r="F42" s="45">
        <v>0</v>
      </c>
      <c r="G42" s="46">
        <v>2875176</v>
      </c>
      <c r="H42" s="56"/>
    </row>
    <row r="43" spans="1:8" ht="21.75" thickBot="1" x14ac:dyDescent="0.4">
      <c r="A43" s="25"/>
      <c r="B43" s="25"/>
      <c r="C43" s="25"/>
      <c r="D43" s="26"/>
      <c r="E43" s="26"/>
      <c r="F43" s="29" t="s">
        <v>82</v>
      </c>
      <c r="G43" s="47">
        <f>SUM(G41:G42)</f>
        <v>5556701</v>
      </c>
      <c r="H43" s="56">
        <v>1132</v>
      </c>
    </row>
    <row r="44" spans="1:8" ht="32.25" thickBot="1" x14ac:dyDescent="0.4">
      <c r="A44" s="59" t="s">
        <v>29</v>
      </c>
      <c r="B44" s="59"/>
      <c r="C44" s="7" t="s">
        <v>30</v>
      </c>
      <c r="D44" s="7" t="s">
        <v>58</v>
      </c>
      <c r="E44" s="31" t="s">
        <v>95</v>
      </c>
      <c r="F44" s="32">
        <v>0</v>
      </c>
      <c r="G44" s="30">
        <v>29621</v>
      </c>
      <c r="H44" s="56">
        <v>1133</v>
      </c>
    </row>
    <row r="45" spans="1:8" ht="32.25" thickBot="1" x14ac:dyDescent="0.4">
      <c r="A45" s="59" t="s">
        <v>29</v>
      </c>
      <c r="B45" s="59"/>
      <c r="C45" s="7" t="s">
        <v>30</v>
      </c>
      <c r="D45" s="7" t="s">
        <v>59</v>
      </c>
      <c r="E45" s="31" t="s">
        <v>96</v>
      </c>
      <c r="F45" s="32">
        <v>0</v>
      </c>
      <c r="G45" s="30">
        <v>39120</v>
      </c>
      <c r="H45" s="56">
        <v>1134</v>
      </c>
    </row>
    <row r="46" spans="1:8" ht="32.25" thickBot="1" x14ac:dyDescent="0.4">
      <c r="A46" s="59" t="s">
        <v>29</v>
      </c>
      <c r="B46" s="59"/>
      <c r="C46" s="7" t="s">
        <v>30</v>
      </c>
      <c r="D46" s="35" t="s">
        <v>65</v>
      </c>
      <c r="E46" s="36" t="s">
        <v>110</v>
      </c>
      <c r="F46" s="37">
        <v>0</v>
      </c>
      <c r="G46" s="38">
        <v>184430</v>
      </c>
      <c r="H46" s="56">
        <v>1135</v>
      </c>
    </row>
    <row r="47" spans="1:8" ht="20.100000000000001" customHeight="1" x14ac:dyDescent="0.35">
      <c r="A47" s="59" t="s">
        <v>29</v>
      </c>
      <c r="B47" s="59"/>
      <c r="C47" s="34" t="s">
        <v>30</v>
      </c>
      <c r="D47" s="42" t="s">
        <v>62</v>
      </c>
      <c r="E47" s="39" t="s">
        <v>97</v>
      </c>
      <c r="F47" s="43">
        <v>0</v>
      </c>
      <c r="G47" s="40">
        <v>113362</v>
      </c>
      <c r="H47" s="56"/>
    </row>
    <row r="48" spans="1:8" ht="21.75" thickBot="1" x14ac:dyDescent="0.4">
      <c r="A48" s="59" t="s">
        <v>29</v>
      </c>
      <c r="B48" s="59"/>
      <c r="C48" s="34" t="s">
        <v>30</v>
      </c>
      <c r="D48" s="44" t="s">
        <v>62</v>
      </c>
      <c r="E48" s="41" t="s">
        <v>97</v>
      </c>
      <c r="F48" s="45">
        <v>0</v>
      </c>
      <c r="G48" s="46">
        <v>154429</v>
      </c>
      <c r="H48" s="56"/>
    </row>
    <row r="49" spans="1:8" ht="20.100000000000001" customHeight="1" thickBot="1" x14ac:dyDescent="0.4">
      <c r="A49" s="25"/>
      <c r="B49" s="25"/>
      <c r="C49" s="25"/>
      <c r="D49" s="26"/>
      <c r="E49" s="26"/>
      <c r="F49" s="29" t="s">
        <v>82</v>
      </c>
      <c r="G49" s="47">
        <f>SUM(G47:G48)</f>
        <v>267791</v>
      </c>
      <c r="H49" s="56">
        <v>1137</v>
      </c>
    </row>
    <row r="50" spans="1:8" ht="32.25" thickBot="1" x14ac:dyDescent="0.4">
      <c r="A50" s="59" t="s">
        <v>29</v>
      </c>
      <c r="B50" s="59"/>
      <c r="C50" s="25" t="s">
        <v>98</v>
      </c>
      <c r="D50" s="7" t="s">
        <v>50</v>
      </c>
      <c r="E50" s="31" t="s">
        <v>99</v>
      </c>
      <c r="F50" s="32">
        <v>0</v>
      </c>
      <c r="G50" s="30">
        <v>10657</v>
      </c>
      <c r="H50" s="56">
        <v>1138</v>
      </c>
    </row>
    <row r="51" spans="1:8" ht="32.25" thickBot="1" x14ac:dyDescent="0.4">
      <c r="A51" s="59" t="s">
        <v>29</v>
      </c>
      <c r="B51" s="59"/>
      <c r="C51" s="7" t="s">
        <v>100</v>
      </c>
      <c r="D51" s="7" t="s">
        <v>50</v>
      </c>
      <c r="E51" s="31" t="s">
        <v>101</v>
      </c>
      <c r="F51" s="32">
        <v>0</v>
      </c>
      <c r="G51" s="30">
        <v>38482</v>
      </c>
      <c r="H51" s="56">
        <v>1139</v>
      </c>
    </row>
    <row r="52" spans="1:8" ht="32.25" thickBot="1" x14ac:dyDescent="0.4">
      <c r="A52" s="59" t="s">
        <v>29</v>
      </c>
      <c r="B52" s="59"/>
      <c r="C52" s="35" t="s">
        <v>51</v>
      </c>
      <c r="D52" s="35" t="s">
        <v>52</v>
      </c>
      <c r="E52" s="36" t="s">
        <v>102</v>
      </c>
      <c r="F52" s="37">
        <v>0</v>
      </c>
      <c r="G52" s="38">
        <v>17896</v>
      </c>
      <c r="H52" s="56">
        <v>1140</v>
      </c>
    </row>
    <row r="53" spans="1:8" ht="31.5" x14ac:dyDescent="0.35">
      <c r="A53" s="59" t="s">
        <v>29</v>
      </c>
      <c r="B53" s="60"/>
      <c r="C53" s="42" t="s">
        <v>42</v>
      </c>
      <c r="D53" s="39" t="s">
        <v>43</v>
      </c>
      <c r="E53" s="39" t="s">
        <v>103</v>
      </c>
      <c r="F53" s="43">
        <v>0</v>
      </c>
      <c r="G53" s="40">
        <v>495073</v>
      </c>
      <c r="H53" s="56"/>
    </row>
    <row r="54" spans="1:8" ht="32.25" thickBot="1" x14ac:dyDescent="0.4">
      <c r="A54" s="59" t="s">
        <v>29</v>
      </c>
      <c r="B54" s="60"/>
      <c r="C54" s="44" t="s">
        <v>42</v>
      </c>
      <c r="D54" s="41" t="s">
        <v>64</v>
      </c>
      <c r="E54" s="41" t="s">
        <v>103</v>
      </c>
      <c r="F54" s="45">
        <v>0</v>
      </c>
      <c r="G54" s="46">
        <v>172435</v>
      </c>
      <c r="H54" s="56"/>
    </row>
    <row r="55" spans="1:8" ht="20.100000000000001" customHeight="1" thickBot="1" x14ac:dyDescent="0.4">
      <c r="A55" s="25"/>
      <c r="B55" s="25"/>
      <c r="C55" s="26"/>
      <c r="D55" s="26"/>
      <c r="E55" s="26"/>
      <c r="F55" s="29" t="s">
        <v>82</v>
      </c>
      <c r="G55" s="47">
        <f>SUM(G53:G54)</f>
        <v>667508</v>
      </c>
      <c r="H55" s="56">
        <v>1141</v>
      </c>
    </row>
    <row r="56" spans="1:8" ht="32.25" thickBot="1" x14ac:dyDescent="0.4">
      <c r="A56" s="59" t="s">
        <v>29</v>
      </c>
      <c r="B56" s="59"/>
      <c r="C56" s="7" t="s">
        <v>47</v>
      </c>
      <c r="D56" s="7" t="s">
        <v>48</v>
      </c>
      <c r="E56" s="31" t="s">
        <v>104</v>
      </c>
      <c r="F56" s="32">
        <v>0</v>
      </c>
      <c r="G56" s="30">
        <v>2932550</v>
      </c>
      <c r="H56" s="56">
        <v>1156</v>
      </c>
    </row>
    <row r="57" spans="1:8" ht="32.25" thickBot="1" x14ac:dyDescent="0.4">
      <c r="A57" s="59" t="s">
        <v>29</v>
      </c>
      <c r="B57" s="59"/>
      <c r="C57" s="7" t="s">
        <v>34</v>
      </c>
      <c r="D57" s="7" t="s">
        <v>35</v>
      </c>
      <c r="E57" s="31" t="s">
        <v>105</v>
      </c>
      <c r="F57" s="32">
        <v>0</v>
      </c>
      <c r="G57" s="30">
        <v>7159</v>
      </c>
      <c r="H57" s="56">
        <v>1142</v>
      </c>
    </row>
    <row r="58" spans="1:8" ht="20.100000000000001" customHeight="1" x14ac:dyDescent="0.25">
      <c r="A58" s="59" t="s">
        <v>29</v>
      </c>
      <c r="B58" s="59"/>
      <c r="C58" s="7" t="s">
        <v>30</v>
      </c>
      <c r="D58" s="7" t="s">
        <v>31</v>
      </c>
      <c r="E58" s="7" t="s">
        <v>32</v>
      </c>
      <c r="F58" s="12">
        <v>1313760000</v>
      </c>
      <c r="G58" s="15">
        <v>0</v>
      </c>
      <c r="H58" s="9"/>
    </row>
    <row r="59" spans="1:8" ht="15" customHeight="1" x14ac:dyDescent="0.25">
      <c r="A59" s="1"/>
      <c r="B59" s="1"/>
      <c r="C59" s="1"/>
      <c r="D59" s="1"/>
      <c r="E59" s="1"/>
      <c r="F59" s="5"/>
      <c r="G59" s="13">
        <f>G19+G20+G21+G22+G25+G26+G27+G28+G31+G32+G35+G36+G37+G38+G39+G40+G43+G44+G45+G46+G49+G50+G51+G52+G55+G56+G57</f>
        <v>63407317</v>
      </c>
    </row>
    <row r="60" spans="1:8" x14ac:dyDescent="0.25">
      <c r="A60" s="61"/>
      <c r="B60" s="61"/>
      <c r="C60" s="61"/>
      <c r="D60" s="61"/>
      <c r="E60" s="61"/>
      <c r="F60" s="61"/>
      <c r="G60" s="61"/>
    </row>
    <row r="61" spans="1:8" x14ac:dyDescent="0.25">
      <c r="A61" s="57"/>
      <c r="B61" s="57"/>
      <c r="C61" s="57"/>
      <c r="D61" s="57"/>
      <c r="E61" s="57"/>
      <c r="F61" s="57"/>
      <c r="G61" s="57"/>
    </row>
    <row r="62" spans="1:8" ht="15" customHeight="1" x14ac:dyDescent="0.25">
      <c r="A62" s="58" t="s">
        <v>66</v>
      </c>
      <c r="B62" s="58"/>
      <c r="C62" s="58"/>
      <c r="D62" s="58"/>
      <c r="E62" s="58"/>
      <c r="F62" s="58"/>
      <c r="G62" s="58"/>
    </row>
    <row r="63" spans="1:8" x14ac:dyDescent="0.25">
      <c r="A63" s="57"/>
      <c r="B63" s="57"/>
      <c r="C63" s="57"/>
      <c r="D63" s="57"/>
      <c r="E63" s="57"/>
      <c r="F63" s="57"/>
      <c r="G63" s="57"/>
    </row>
    <row r="64" spans="1:8" x14ac:dyDescent="0.25">
      <c r="A64" s="7" t="s">
        <v>67</v>
      </c>
      <c r="B64" s="8">
        <v>5081812853</v>
      </c>
      <c r="C64" s="9"/>
    </row>
    <row r="65" spans="1:3" x14ac:dyDescent="0.25">
      <c r="A65" s="7" t="s">
        <v>68</v>
      </c>
      <c r="B65" s="10">
        <v>0</v>
      </c>
      <c r="C65" s="9"/>
    </row>
    <row r="66" spans="1:3" x14ac:dyDescent="0.25">
      <c r="A66" s="7" t="s">
        <v>69</v>
      </c>
      <c r="B66" s="8">
        <v>1313760000</v>
      </c>
      <c r="C66" s="9"/>
    </row>
    <row r="67" spans="1:3" x14ac:dyDescent="0.25">
      <c r="A67" s="7" t="s">
        <v>70</v>
      </c>
      <c r="B67" s="8">
        <v>3651852</v>
      </c>
      <c r="C67" s="11">
        <f>B67+B68</f>
        <v>63407317</v>
      </c>
    </row>
    <row r="68" spans="1:3" x14ac:dyDescent="0.25">
      <c r="A68" s="7" t="s">
        <v>71</v>
      </c>
      <c r="B68" s="8">
        <v>59755465</v>
      </c>
      <c r="C68" s="9"/>
    </row>
    <row r="69" spans="1:3" x14ac:dyDescent="0.25">
      <c r="A69" s="7" t="s">
        <v>72</v>
      </c>
      <c r="B69" s="12">
        <v>3831460170</v>
      </c>
      <c r="C69" s="9"/>
    </row>
    <row r="70" spans="1:3" x14ac:dyDescent="0.25">
      <c r="A70" s="6"/>
    </row>
    <row r="71" spans="1:3" x14ac:dyDescent="0.25">
      <c r="A71" s="6"/>
    </row>
    <row r="72" spans="1:3" x14ac:dyDescent="0.25">
      <c r="A72" s="6"/>
    </row>
  </sheetData>
  <sortState xmlns:xlrd2="http://schemas.microsoft.com/office/spreadsheetml/2017/richdata2" ref="C19:G58">
    <sortCondition ref="D19:D58"/>
  </sortState>
  <mergeCells count="48">
    <mergeCell ref="A24:B24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19:B19"/>
    <mergeCell ref="A20:B20"/>
    <mergeCell ref="A21:B21"/>
    <mergeCell ref="A22:B22"/>
    <mergeCell ref="A23:B23"/>
    <mergeCell ref="A51:B51"/>
    <mergeCell ref="A52:B52"/>
    <mergeCell ref="A53:B53"/>
    <mergeCell ref="A40:B40"/>
    <mergeCell ref="A41:B41"/>
    <mergeCell ref="A42:B42"/>
    <mergeCell ref="A44:B44"/>
    <mergeCell ref="A45:B45"/>
    <mergeCell ref="A46:B46"/>
    <mergeCell ref="A47:B47"/>
    <mergeCell ref="A48:B48"/>
    <mergeCell ref="A50:B50"/>
    <mergeCell ref="A39:B39"/>
    <mergeCell ref="A26:B26"/>
    <mergeCell ref="A27:B27"/>
    <mergeCell ref="A28:B28"/>
    <mergeCell ref="A29:B29"/>
    <mergeCell ref="A30:B30"/>
    <mergeCell ref="A33:B33"/>
    <mergeCell ref="A34:B34"/>
    <mergeCell ref="A36:B36"/>
    <mergeCell ref="A37:B37"/>
    <mergeCell ref="A38:B38"/>
    <mergeCell ref="A32:B32"/>
    <mergeCell ref="A61:G61"/>
    <mergeCell ref="A62:G62"/>
    <mergeCell ref="A63:G63"/>
    <mergeCell ref="A54:B54"/>
    <mergeCell ref="A56:B56"/>
    <mergeCell ref="A57:B57"/>
    <mergeCell ref="A58:B58"/>
    <mergeCell ref="A60:G60"/>
  </mergeCells>
  <pageMargins left="0.75" right="0.75" top="1" bottom="1" header="0.5" footer="0.5"/>
  <pageSetup scale="61" fitToHeight="0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29B3-3762-4ACC-AFF7-09992577C18C}">
  <sheetPr>
    <pageSetUpPr fitToPage="1"/>
  </sheetPr>
  <dimension ref="A1:H39"/>
  <sheetViews>
    <sheetView workbookViewId="0">
      <selection activeCell="E11" sqref="E11"/>
    </sheetView>
  </sheetViews>
  <sheetFormatPr baseColWidth="10" defaultRowHeight="15" x14ac:dyDescent="0.25"/>
  <cols>
    <col min="1" max="1" width="17.85546875" bestFit="1" customWidth="1"/>
    <col min="2" max="2" width="19.28515625" customWidth="1"/>
    <col min="3" max="3" width="16.140625" bestFit="1" customWidth="1"/>
    <col min="4" max="4" width="12.7109375" bestFit="1" customWidth="1"/>
    <col min="5" max="5" width="41.140625" customWidth="1"/>
    <col min="6" max="6" width="9.5703125" bestFit="1" customWidth="1"/>
    <col min="7" max="7" width="10.7109375" bestFit="1" customWidth="1"/>
  </cols>
  <sheetData>
    <row r="1" spans="1:7" ht="18" customHeight="1" x14ac:dyDescent="0.25">
      <c r="A1" s="62" t="s">
        <v>0</v>
      </c>
      <c r="B1" s="62"/>
      <c r="C1" s="62"/>
      <c r="D1" s="62"/>
      <c r="E1" s="62"/>
    </row>
    <row r="2" spans="1:7" x14ac:dyDescent="0.25">
      <c r="A2" s="57"/>
      <c r="B2" s="57"/>
      <c r="C2" s="57"/>
      <c r="D2" s="57"/>
      <c r="E2" s="57"/>
      <c r="F2" s="57"/>
    </row>
    <row r="3" spans="1:7" ht="15" customHeight="1" x14ac:dyDescent="0.25">
      <c r="A3" s="58" t="s">
        <v>1</v>
      </c>
      <c r="B3" s="58"/>
      <c r="C3" s="58"/>
      <c r="D3" s="58"/>
      <c r="E3" s="58"/>
    </row>
    <row r="4" spans="1:7" x14ac:dyDescent="0.25">
      <c r="A4" s="57"/>
      <c r="B4" s="57"/>
      <c r="C4" s="57"/>
      <c r="D4" s="57"/>
      <c r="E4" s="57"/>
    </row>
    <row r="5" spans="1:7" x14ac:dyDescent="0.25">
      <c r="A5" s="22" t="s">
        <v>2</v>
      </c>
      <c r="B5" s="3" t="s">
        <v>3</v>
      </c>
      <c r="C5" s="21"/>
      <c r="D5" s="22" t="s">
        <v>4</v>
      </c>
      <c r="E5" s="3" t="s">
        <v>5</v>
      </c>
    </row>
    <row r="6" spans="1:7" x14ac:dyDescent="0.25">
      <c r="A6" s="22" t="s">
        <v>6</v>
      </c>
      <c r="B6" s="3" t="s">
        <v>7</v>
      </c>
      <c r="C6" s="21"/>
      <c r="D6" s="22" t="s">
        <v>8</v>
      </c>
      <c r="E6" s="3" t="s">
        <v>9</v>
      </c>
    </row>
    <row r="7" spans="1:7" x14ac:dyDescent="0.25">
      <c r="A7" s="22" t="s">
        <v>10</v>
      </c>
      <c r="B7" s="3">
        <v>9210920</v>
      </c>
      <c r="C7" s="21"/>
      <c r="D7" s="22" t="s">
        <v>11</v>
      </c>
      <c r="E7" s="4">
        <v>43906</v>
      </c>
    </row>
    <row r="8" spans="1:7" x14ac:dyDescent="0.25">
      <c r="A8" s="22" t="s">
        <v>12</v>
      </c>
      <c r="B8" s="21" t="s">
        <v>78</v>
      </c>
      <c r="C8" s="21"/>
      <c r="D8" s="21"/>
      <c r="E8" s="21"/>
    </row>
    <row r="9" spans="1:7" x14ac:dyDescent="0.25">
      <c r="A9" s="21"/>
      <c r="F9" s="54" t="s">
        <v>107</v>
      </c>
    </row>
    <row r="10" spans="1:7" x14ac:dyDescent="0.25">
      <c r="A10" s="22" t="s">
        <v>14</v>
      </c>
    </row>
    <row r="11" spans="1:7" x14ac:dyDescent="0.25">
      <c r="A11" s="21"/>
    </row>
    <row r="12" spans="1:7" x14ac:dyDescent="0.25">
      <c r="A12" s="22" t="s">
        <v>15</v>
      </c>
      <c r="B12" s="3">
        <v>38</v>
      </c>
      <c r="C12" s="21"/>
      <c r="D12" s="22" t="s">
        <v>16</v>
      </c>
      <c r="E12" s="4">
        <v>43899</v>
      </c>
    </row>
    <row r="13" spans="1:7" x14ac:dyDescent="0.25">
      <c r="A13" s="22" t="s">
        <v>17</v>
      </c>
      <c r="B13" s="3">
        <v>1</v>
      </c>
      <c r="C13" s="21"/>
      <c r="D13" s="22" t="s">
        <v>18</v>
      </c>
      <c r="E13" s="4">
        <v>43899</v>
      </c>
    </row>
    <row r="14" spans="1:7" x14ac:dyDescent="0.25">
      <c r="A14" s="22" t="s">
        <v>19</v>
      </c>
      <c r="B14" s="4">
        <v>43899</v>
      </c>
      <c r="C14" s="21"/>
      <c r="D14" s="21"/>
      <c r="E14" s="21"/>
    </row>
    <row r="15" spans="1:7" ht="15" customHeight="1" x14ac:dyDescent="0.25">
      <c r="A15" s="58" t="s">
        <v>20</v>
      </c>
      <c r="B15" s="58"/>
      <c r="C15" s="58"/>
      <c r="D15" s="58"/>
      <c r="E15" s="58"/>
      <c r="F15" s="58"/>
      <c r="G15" s="58"/>
    </row>
    <row r="16" spans="1:7" ht="15.75" thickBot="1" x14ac:dyDescent="0.3">
      <c r="A16" s="57"/>
      <c r="B16" s="57"/>
      <c r="C16" s="57"/>
      <c r="D16" s="57"/>
      <c r="E16" s="57"/>
      <c r="F16" s="57"/>
      <c r="G16" s="57"/>
    </row>
    <row r="17" spans="1:8" x14ac:dyDescent="0.25">
      <c r="A17" s="63" t="s">
        <v>21</v>
      </c>
      <c r="B17" s="64"/>
      <c r="C17" s="64" t="s">
        <v>22</v>
      </c>
      <c r="D17" s="64" t="s">
        <v>23</v>
      </c>
      <c r="E17" s="64" t="s">
        <v>24</v>
      </c>
      <c r="F17" s="16" t="s">
        <v>25</v>
      </c>
      <c r="G17" s="16" t="s">
        <v>27</v>
      </c>
      <c r="H17" s="17" t="s">
        <v>108</v>
      </c>
    </row>
    <row r="18" spans="1:8" ht="15.75" thickBot="1" x14ac:dyDescent="0.3">
      <c r="A18" s="65"/>
      <c r="B18" s="66"/>
      <c r="C18" s="66"/>
      <c r="D18" s="66"/>
      <c r="E18" s="66"/>
      <c r="F18" s="18" t="s">
        <v>26</v>
      </c>
      <c r="G18" s="18" t="s">
        <v>28</v>
      </c>
      <c r="H18" s="19" t="s">
        <v>109</v>
      </c>
    </row>
    <row r="19" spans="1:8" ht="80.099999999999994" customHeight="1" thickBot="1" x14ac:dyDescent="0.3">
      <c r="A19" s="68" t="s">
        <v>77</v>
      </c>
      <c r="B19" s="68"/>
      <c r="C19" s="27" t="s">
        <v>30</v>
      </c>
      <c r="D19" s="27" t="s">
        <v>76</v>
      </c>
      <c r="E19" s="51" t="s">
        <v>106</v>
      </c>
      <c r="F19" s="52">
        <v>0</v>
      </c>
      <c r="G19" s="53">
        <v>1443723</v>
      </c>
      <c r="H19" s="48"/>
    </row>
    <row r="20" spans="1:8" x14ac:dyDescent="0.25">
      <c r="A20" s="61"/>
      <c r="B20" s="61"/>
      <c r="C20" s="61"/>
      <c r="D20" s="61"/>
      <c r="E20" s="61"/>
      <c r="F20" s="61"/>
      <c r="G20" s="61"/>
    </row>
    <row r="21" spans="1:8" x14ac:dyDescent="0.25">
      <c r="A21" s="24"/>
      <c r="B21" s="24"/>
      <c r="C21" s="24"/>
      <c r="D21" s="24"/>
      <c r="E21" s="24"/>
      <c r="F21" s="24"/>
      <c r="G21" s="24"/>
    </row>
    <row r="22" spans="1:8" x14ac:dyDescent="0.25">
      <c r="A22" s="24"/>
      <c r="B22" s="24"/>
      <c r="C22" s="24"/>
      <c r="D22" s="24"/>
      <c r="E22" s="24"/>
      <c r="F22" s="24"/>
      <c r="G22" s="24"/>
    </row>
    <row r="23" spans="1:8" x14ac:dyDescent="0.25">
      <c r="A23" s="24"/>
      <c r="B23" s="24"/>
      <c r="C23" s="24"/>
      <c r="D23" s="24"/>
      <c r="E23" s="24"/>
      <c r="F23" s="24"/>
      <c r="G23" s="24"/>
    </row>
    <row r="24" spans="1:8" x14ac:dyDescent="0.25">
      <c r="A24" s="24"/>
      <c r="B24" s="24"/>
      <c r="C24" s="24"/>
      <c r="D24" s="24"/>
      <c r="E24" s="24"/>
      <c r="F24" s="24"/>
      <c r="G24" s="24"/>
    </row>
    <row r="25" spans="1:8" x14ac:dyDescent="0.25">
      <c r="A25" s="24"/>
      <c r="B25" s="24"/>
      <c r="C25" s="24"/>
      <c r="D25" s="24"/>
      <c r="E25" s="24"/>
      <c r="F25" s="24"/>
      <c r="G25" s="24"/>
    </row>
    <row r="26" spans="1:8" x14ac:dyDescent="0.25">
      <c r="A26" s="24"/>
      <c r="B26" s="24"/>
      <c r="C26" s="24"/>
      <c r="D26" s="24"/>
      <c r="E26" s="24"/>
      <c r="F26" s="24"/>
      <c r="G26" s="24"/>
    </row>
    <row r="27" spans="1:8" x14ac:dyDescent="0.25">
      <c r="A27" s="24"/>
      <c r="B27" s="24"/>
      <c r="C27" s="24"/>
      <c r="D27" s="24"/>
      <c r="E27" s="24"/>
      <c r="F27" s="24"/>
      <c r="G27" s="24"/>
    </row>
    <row r="28" spans="1:8" x14ac:dyDescent="0.25">
      <c r="A28" s="57"/>
      <c r="B28" s="57"/>
      <c r="C28" s="57"/>
      <c r="D28" s="57"/>
      <c r="E28" s="57"/>
      <c r="F28" s="57"/>
      <c r="G28" s="57"/>
    </row>
    <row r="29" spans="1:8" ht="15" customHeight="1" x14ac:dyDescent="0.25">
      <c r="A29" s="58" t="s">
        <v>66</v>
      </c>
      <c r="B29" s="58"/>
      <c r="C29" s="58"/>
      <c r="D29" s="58"/>
      <c r="E29" s="58"/>
      <c r="F29" s="58"/>
      <c r="G29" s="58"/>
    </row>
    <row r="30" spans="1:8" x14ac:dyDescent="0.25">
      <c r="A30" s="57"/>
      <c r="B30" s="57"/>
      <c r="C30" s="57"/>
      <c r="D30" s="57"/>
      <c r="E30" s="57"/>
      <c r="F30" s="57"/>
      <c r="G30" s="57"/>
    </row>
    <row r="31" spans="1:8" x14ac:dyDescent="0.25">
      <c r="A31" s="23" t="s">
        <v>67</v>
      </c>
      <c r="B31" s="8">
        <v>2509920879</v>
      </c>
      <c r="C31" s="9"/>
    </row>
    <row r="32" spans="1:8" x14ac:dyDescent="0.25">
      <c r="A32" s="23" t="s">
        <v>68</v>
      </c>
      <c r="B32" s="10">
        <v>0</v>
      </c>
      <c r="C32" s="9"/>
    </row>
    <row r="33" spans="1:3" x14ac:dyDescent="0.25">
      <c r="A33" s="23" t="s">
        <v>69</v>
      </c>
      <c r="B33" s="10">
        <v>0</v>
      </c>
      <c r="C33" s="9"/>
    </row>
    <row r="34" spans="1:3" x14ac:dyDescent="0.25">
      <c r="A34" s="23" t="s">
        <v>70</v>
      </c>
      <c r="B34" s="10">
        <v>0</v>
      </c>
      <c r="C34" s="9"/>
    </row>
    <row r="35" spans="1:3" x14ac:dyDescent="0.25">
      <c r="A35" s="23" t="s">
        <v>71</v>
      </c>
      <c r="B35" s="8">
        <v>1443723</v>
      </c>
      <c r="C35" s="9"/>
    </row>
    <row r="36" spans="1:3" x14ac:dyDescent="0.25">
      <c r="A36" s="23" t="s">
        <v>72</v>
      </c>
      <c r="B36" s="12">
        <v>2511364602</v>
      </c>
      <c r="C36" s="9"/>
    </row>
    <row r="37" spans="1:3" x14ac:dyDescent="0.25">
      <c r="A37" s="6"/>
    </row>
    <row r="38" spans="1:3" x14ac:dyDescent="0.25">
      <c r="A38" s="6"/>
    </row>
    <row r="39" spans="1:3" x14ac:dyDescent="0.25">
      <c r="A39" s="6"/>
    </row>
  </sheetData>
  <mergeCells count="15">
    <mergeCell ref="A30:G30"/>
    <mergeCell ref="A19:B19"/>
    <mergeCell ref="A20:G20"/>
    <mergeCell ref="A15:G15"/>
    <mergeCell ref="A16:G16"/>
    <mergeCell ref="A28:G28"/>
    <mergeCell ref="A29:G29"/>
    <mergeCell ref="A3:E3"/>
    <mergeCell ref="A4:E4"/>
    <mergeCell ref="A1:E1"/>
    <mergeCell ref="A2:F2"/>
    <mergeCell ref="A17:B18"/>
    <mergeCell ref="C17:C18"/>
    <mergeCell ref="D17:D18"/>
    <mergeCell ref="E17:E18"/>
  </mergeCells>
  <pageMargins left="0.7" right="0.7" top="0.75" bottom="0.75" header="0.3" footer="0.3"/>
  <pageSetup scale="6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2020-03-22T23:43:54Z</cp:lastPrinted>
  <dcterms:created xsi:type="dcterms:W3CDTF">2020-03-12T17:52:56Z</dcterms:created>
  <dcterms:modified xsi:type="dcterms:W3CDTF">2020-03-24T17:14:19Z</dcterms:modified>
</cp:coreProperties>
</file>