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7CC4AC5D-C416-4C1E-A702-90F0791E9F3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  <sheet name="9210920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9" i="2" l="1"/>
  <c r="G35" i="2"/>
  <c r="G27" i="2"/>
  <c r="C32" i="3" l="1"/>
  <c r="C47" i="2"/>
</calcChain>
</file>

<file path=xl/sharedStrings.xml><?xml version="1.0" encoding="utf-8"?>
<sst xmlns="http://schemas.openxmlformats.org/spreadsheetml/2006/main" count="157" uniqueCount="81">
  <si>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</si>
  <si>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</si>
  <si>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</si>
  <si>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</si>
  <si>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</si>
  <si>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</si>
  <si>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</si>
  <si>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</si>
  <si>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</si>
  <si>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</si>
  <si>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</si>
  <si>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</si>
  <si>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</si>
  <si>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</si>
  <si>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</si>
  <si>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</si>
  <si>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</si>
  <si>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</si>
  <si>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</si>
  <si>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</si>
  <si>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</si>
  <si>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</si>
  <si>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</si>
  <si>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</si>
  <si>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</si>
  <si>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</si>
  <si>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</si>
  <si>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</si>
  <si>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</si>
  <si>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16-03-2020  </t>
  </si>
  <si>
    <t>STGO.PRINCIPAL </t>
  </si>
  <si>
    <t>7044499 </t>
  </si>
  <si>
    <t>TRANSFERENCIA INTERNET A BANCO ESTADO S/TC CLIENTE</t>
  </si>
  <si>
    <t>7047271 </t>
  </si>
  <si>
    <t>1350016 </t>
  </si>
  <si>
    <t>0201557 </t>
  </si>
  <si>
    <t>0203599 </t>
  </si>
  <si>
    <t>PUYEHUE </t>
  </si>
  <si>
    <t>0001782 </t>
  </si>
  <si>
    <t>PAGO DE CHEQUE CON DEPOSITO CUENTA CORRIENTE</t>
  </si>
  <si>
    <t>0208548 </t>
  </si>
  <si>
    <t>0201750 </t>
  </si>
  <si>
    <t>0215231 </t>
  </si>
  <si>
    <t>0204043 </t>
  </si>
  <si>
    <t>1800192 </t>
  </si>
  <si>
    <t>ABONO</t>
  </si>
  <si>
    <t>17-03-2020  </t>
  </si>
  <si>
    <t>7047715 </t>
  </si>
  <si>
    <t>7051716 </t>
  </si>
  <si>
    <t>0001077 </t>
  </si>
  <si>
    <t>TRANSFERENCIA OTRO BANCO DE ILUSTRE MUNICIPALIDAD DE COBQUECURA</t>
  </si>
  <si>
    <t>7018919 </t>
  </si>
  <si>
    <t>TRANSFERENCIA BANCOESTADO DE I MUNICIPALIDAD DE CARTAGENA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</si>
  <si>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</si>
  <si>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</si>
  <si>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</si>
  <si>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</si>
  <si>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</si>
  <si>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</si>
  <si>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</si>
  <si>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CENTRAL DE ABASTECIMIENTOS SNS EQUIP Y</t>
  </si>
  <si>
    <t>PUERTO MONTT </t>
  </si>
  <si>
    <t>PAGODE CHEQUE CON DEPOSITO CUENTA CORRIENTE</t>
  </si>
  <si>
    <t>Numeros</t>
  </si>
  <si>
    <t>Ingresos</t>
  </si>
  <si>
    <t>12  Comprobantes</t>
  </si>
  <si>
    <t>Ingreso</t>
  </si>
  <si>
    <t>Numero</t>
  </si>
  <si>
    <t>12  Comprobante</t>
  </si>
  <si>
    <t>ABONO PAGO A PROVEEDORES SERVICIO DE SALUD DEL MAULE</t>
  </si>
  <si>
    <t>ABONO PAGO A PROVEEDORES MUNICIPALIDAD DE SAN PEDRO DE ATACAMA</t>
  </si>
  <si>
    <t>ABONO PAGO A PROVEEDORES SUBSECRETARIA DE SALUD PUBLICA</t>
  </si>
  <si>
    <t>ABONO PAGO A PROVEEDORES MUNICIPALIDAD DE ANGOL</t>
  </si>
  <si>
    <t>ABONO PAGO A PROVEEDORES SERVICIO DE SALUD DE VIÑA DEL MAR-SAN ANTONIO</t>
  </si>
  <si>
    <t>TOTAL</t>
  </si>
  <si>
    <t>ABONO PAGO A PROVEEDORES S.S. DEL RELONCAVI  HOSPITAL DE PUERTO MONTT</t>
  </si>
  <si>
    <t>69.190.700-7 STGO.PRINCIPAL </t>
  </si>
  <si>
    <t>PAGOS VARIOS DESDE BCO BCI MUNICIPALIDAD DE TEMUCO</t>
  </si>
  <si>
    <t>69.265.100-6 STGO.PRINCIPAL </t>
  </si>
  <si>
    <t>PAGOS VARIOS DESDE BCO BCI MUNICIPALIDAD DE ALTO HOSPICIO</t>
  </si>
  <si>
    <t>pendiente por  identificar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</si>
</sst>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3" fontId="21" fillId="0" borderId="0" xfId="0" applyNumberFormat="1" applyFont="1" applyAlignment="1">
      <alignment horizontal="right" wrapText="1"/>
    </xf>
    <xf numFmtId="0" fontId="0" fillId="0" borderId="0" xfId="0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0" fillId="0" borderId="10" xfId="0" applyNumberFormat="1" applyBorder="1" applyAlignment="1">
      <alignment horizontal="right" wrapText="1"/>
    </xf>
    <xf numFmtId="0" fontId="0" fillId="0" borderId="10" xfId="0" applyBorder="1"/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3" fontId="21" fillId="0" borderId="10" xfId="0" applyNumberFormat="1" applyFont="1" applyBorder="1" applyAlignment="1">
      <alignment horizontal="right" wrapText="1"/>
    </xf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16" fillId="0" borderId="14" xfId="0" applyFont="1" applyBorder="1" applyAlignment="1">
      <alignment horizontal="right" vertical="top" wrapText="1"/>
    </xf>
    <xf numFmtId="0" fontId="16" fillId="0" borderId="15" xfId="0" applyFont="1" applyBorder="1"/>
    <xf numFmtId="0" fontId="16" fillId="0" borderId="17" xfId="0" applyFont="1" applyBorder="1" applyAlignment="1">
      <alignment horizontal="right" vertical="top" wrapText="1"/>
    </xf>
    <xf numFmtId="0" fontId="16" fillId="0" borderId="18" xfId="0" applyFont="1" applyBorder="1"/>
    <xf numFmtId="0" fontId="22" fillId="0" borderId="0" xfId="0" applyFont="1"/>
    <xf numFmtId="0" fontId="23" fillId="0" borderId="10" xfId="0" applyFont="1" applyBorder="1" applyAlignment="1">
      <alignment horizontal="right" wrapText="1"/>
    </xf>
    <xf numFmtId="0" fontId="21" fillId="0" borderId="19" xfId="0" applyFont="1" applyBorder="1" applyAlignment="1">
      <alignment horizontal="right" wrapText="1"/>
    </xf>
    <xf numFmtId="3" fontId="23" fillId="0" borderId="11" xfId="0" applyNumberFormat="1" applyFont="1" applyBorder="1" applyAlignment="1">
      <alignment horizontal="right" wrapText="1"/>
    </xf>
    <xf numFmtId="0" fontId="21" fillId="0" borderId="21" xfId="0" applyFont="1" applyBorder="1" applyAlignment="1">
      <alignment horizontal="right" wrapText="1"/>
    </xf>
    <xf numFmtId="0" fontId="0" fillId="0" borderId="22" xfId="0" applyBorder="1"/>
    <xf numFmtId="0" fontId="23" fillId="0" borderId="12" xfId="0" applyFont="1" applyBorder="1" applyAlignment="1">
      <alignment horizontal="right" wrapText="1"/>
    </xf>
    <xf numFmtId="0" fontId="23" fillId="0" borderId="23" xfId="0" applyFont="1" applyBorder="1" applyAlignment="1">
      <alignment horizontal="right" wrapText="1"/>
    </xf>
    <xf numFmtId="0" fontId="16" fillId="0" borderId="24" xfId="0" applyFont="1" applyBorder="1"/>
    <xf numFmtId="0" fontId="16" fillId="0" borderId="12" xfId="0" applyFont="1" applyBorder="1" applyAlignment="1">
      <alignment vertical="center" wrapText="1"/>
    </xf>
    <xf numFmtId="0" fontId="23" fillId="0" borderId="19" xfId="0" applyFont="1" applyBorder="1" applyAlignment="1">
      <alignment horizontal="right" vertical="center" wrapText="1"/>
    </xf>
    <xf numFmtId="3" fontId="23" fillId="0" borderId="16" xfId="0" applyNumberFormat="1" applyFont="1" applyBorder="1" applyAlignment="1">
      <alignment horizontal="right" vertical="center" wrapText="1"/>
    </xf>
    <xf numFmtId="0" fontId="16" fillId="0" borderId="0" xfId="0" applyFont="1" applyBorder="1" applyAlignment="1">
      <alignment horizontal="right" vertical="top" wrapText="1"/>
    </xf>
    <xf numFmtId="3" fontId="23" fillId="0" borderId="25" xfId="0" applyNumberFormat="1" applyFont="1" applyBorder="1" applyAlignment="1">
      <alignment horizontal="right" wrapText="1"/>
    </xf>
    <xf numFmtId="3" fontId="23" fillId="0" borderId="28" xfId="0" applyNumberFormat="1" applyFont="1" applyBorder="1" applyAlignment="1">
      <alignment horizontal="right" wrapText="1"/>
    </xf>
    <xf numFmtId="0" fontId="16" fillId="0" borderId="26" xfId="0" applyFont="1" applyBorder="1" applyAlignment="1">
      <alignment wrapText="1"/>
    </xf>
    <xf numFmtId="0" fontId="16" fillId="0" borderId="27" xfId="0" applyFont="1" applyBorder="1" applyAlignment="1">
      <alignment wrapText="1"/>
    </xf>
    <xf numFmtId="0" fontId="23" fillId="0" borderId="27" xfId="0" applyFont="1" applyBorder="1" applyAlignment="1">
      <alignment horizontal="right" wrapText="1"/>
    </xf>
    <xf numFmtId="0" fontId="16" fillId="0" borderId="12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0" fillId="0" borderId="21" xfId="0" applyBorder="1" applyAlignment="1">
      <alignment wrapText="1"/>
    </xf>
    <xf numFmtId="0" fontId="0" fillId="0" borderId="23" xfId="0" applyBorder="1" applyAlignment="1">
      <alignment wrapText="1"/>
    </xf>
    <xf numFmtId="0" fontId="16" fillId="0" borderId="23" xfId="0" applyFont="1" applyBorder="1" applyAlignment="1">
      <alignment wrapText="1"/>
    </xf>
    <xf numFmtId="0" fontId="21" fillId="0" borderId="29" xfId="0" applyFont="1" applyBorder="1" applyAlignment="1">
      <alignment horizontal="right" wrapText="1"/>
    </xf>
    <xf numFmtId="3" fontId="23" fillId="0" borderId="30" xfId="0" applyNumberFormat="1" applyFont="1" applyBorder="1" applyAlignment="1">
      <alignment horizontal="right" wrapText="1"/>
    </xf>
    <xf numFmtId="0" fontId="16" fillId="0" borderId="14" xfId="0" applyFont="1" applyBorder="1" applyAlignment="1">
      <alignment wrapText="1"/>
    </xf>
    <xf numFmtId="3" fontId="23" fillId="0" borderId="15" xfId="0" applyNumberFormat="1" applyFont="1" applyBorder="1" applyAlignment="1">
      <alignment horizontal="right" wrapText="1"/>
    </xf>
    <xf numFmtId="0" fontId="16" fillId="0" borderId="17" xfId="0" applyFont="1" applyBorder="1" applyAlignment="1">
      <alignment wrapText="1"/>
    </xf>
    <xf numFmtId="3" fontId="23" fillId="0" borderId="18" xfId="0" applyNumberFormat="1" applyFont="1" applyBorder="1" applyAlignment="1">
      <alignment horizontal="right" wrapText="1"/>
    </xf>
    <xf numFmtId="0" fontId="16" fillId="0" borderId="13" xfId="0" applyFont="1" applyBorder="1" applyAlignment="1">
      <alignment wrapText="1"/>
    </xf>
    <xf numFmtId="0" fontId="23" fillId="0" borderId="14" xfId="0" applyFont="1" applyBorder="1" applyAlignment="1">
      <alignment horizontal="right" wrapText="1"/>
    </xf>
    <xf numFmtId="0" fontId="16" fillId="0" borderId="16" xfId="0" applyFont="1" applyBorder="1" applyAlignment="1">
      <alignment wrapText="1"/>
    </xf>
    <xf numFmtId="0" fontId="23" fillId="0" borderId="17" xfId="0" applyFont="1" applyBorder="1" applyAlignment="1">
      <alignment horizontal="right" wrapText="1"/>
    </xf>
    <xf numFmtId="3" fontId="21" fillId="0" borderId="23" xfId="0" applyNumberFormat="1" applyFont="1" applyBorder="1" applyAlignment="1">
      <alignment horizontal="right" wrapText="1"/>
    </xf>
    <xf numFmtId="0" fontId="22" fillId="0" borderId="22" xfId="0" applyFont="1" applyBorder="1" applyAlignment="1">
      <alignment horizontal="center"/>
    </xf>
    <xf numFmtId="0" fontId="22" fillId="0" borderId="20" xfId="0" applyFont="1" applyBorder="1" applyAlignment="1">
      <alignment horizontal="center"/>
    </xf>
    <xf numFmtId="0" fontId="24" fillId="0" borderId="22" xfId="0" applyFont="1" applyBorder="1" applyAlignment="1">
      <alignment horizontal="left" wrapText="1"/>
    </xf>
    <xf numFmtId="0" fontId="22" fillId="0" borderId="10" xfId="0" applyFont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0" xfId="0" applyAlignment="1">
      <alignment wrapText="1"/>
    </xf>
    <xf numFmtId="0" fontId="0" fillId="0" borderId="21" xfId="0" applyBorder="1" applyAlignment="1">
      <alignment wrapText="1"/>
    </xf>
    <xf numFmtId="0" fontId="0" fillId="0" borderId="0" xfId="0" applyAlignment="1">
      <alignment horizontal="right" wrapText="1"/>
    </xf>
    <xf numFmtId="0" fontId="16" fillId="0" borderId="0" xfId="0" applyFont="1" applyAlignment="1">
      <alignment wrapText="1"/>
    </xf>
    <xf numFmtId="0" fontId="20" fillId="0" borderId="0" xfId="0" applyFont="1" applyAlignment="1">
      <alignment wrapText="1"/>
    </xf>
    <xf numFmtId="0" fontId="16" fillId="0" borderId="13" xfId="0" applyFont="1" applyBorder="1" applyAlignment="1">
      <alignment vertical="top" wrapText="1"/>
    </xf>
    <xf numFmtId="0" fontId="16" fillId="0" borderId="14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6" fillId="0" borderId="0" xfId="0" applyFont="1" applyBorder="1" applyAlignment="1">
      <alignment vertical="top" wrapText="1"/>
    </xf>
    <xf numFmtId="0" fontId="16" fillId="0" borderId="12" xfId="0" applyFont="1" applyBorder="1" applyAlignment="1">
      <alignment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52"/>
  <sheetViews>
    <sheetView showGridLines="0" tabSelected="1" topLeftCell="A22" workbookViewId="0">
      <selection activeCell="J31" sqref="J31"/>
    </sheetView>
  </sheetViews>
  <sheetFormatPr baseColWidth="10" defaultRowHeight="15" x14ac:dyDescent="0.25"/>
  <cols>
    <col min="1" max="1" width="17.85546875" bestFit="1" customWidth="1"/>
    <col min="2" max="2" width="16.85546875" customWidth="1"/>
    <col min="3" max="3" width="16.140625" bestFit="1" customWidth="1"/>
    <col min="4" max="4" width="12.7109375" bestFit="1" customWidth="1"/>
    <col min="5" max="5" width="45.7109375" bestFit="1" customWidth="1"/>
    <col min="6" max="6" width="10.140625" bestFit="1" customWidth="1"/>
    <col min="7" max="7" width="10.7109375" bestFit="1" customWidth="1"/>
  </cols>
  <sheetData>
    <row r="1" spans="1:7" ht="18" customHeight="1" x14ac:dyDescent="0.25">
      <c r="A1" s="65" t="s">
        <v>0</v>
      </c>
      <c r="B1" s="65"/>
      <c r="C1" s="65"/>
      <c r="D1" s="65"/>
      <c r="E1" s="65"/>
    </row>
    <row r="2" spans="1:7" x14ac:dyDescent="0.25">
      <c r="A2" s="61"/>
      <c r="B2" s="61"/>
      <c r="C2" s="61"/>
      <c r="D2" s="61"/>
      <c r="E2" s="61"/>
      <c r="F2" s="61"/>
    </row>
    <row r="3" spans="1:7" ht="15" customHeight="1" x14ac:dyDescent="0.25">
      <c r="A3" s="64" t="s">
        <v>1</v>
      </c>
      <c r="B3" s="64"/>
      <c r="C3" s="64"/>
      <c r="D3" s="64"/>
      <c r="E3" s="64"/>
    </row>
    <row r="4" spans="1:7" x14ac:dyDescent="0.25">
      <c r="A4" s="61"/>
      <c r="B4" s="61"/>
      <c r="C4" s="61"/>
      <c r="D4" s="61"/>
      <c r="E4" s="61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43910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20" t="s">
        <v>65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53</v>
      </c>
      <c r="C12" s="1"/>
      <c r="D12" s="2" t="s">
        <v>16</v>
      </c>
      <c r="E12" s="4">
        <v>43906</v>
      </c>
    </row>
    <row r="13" spans="1:7" x14ac:dyDescent="0.25">
      <c r="A13" s="2" t="s">
        <v>17</v>
      </c>
      <c r="B13" s="3">
        <v>18</v>
      </c>
      <c r="C13" s="1"/>
      <c r="D13" s="2" t="s">
        <v>18</v>
      </c>
      <c r="E13" s="4">
        <v>43907</v>
      </c>
    </row>
    <row r="14" spans="1:7" x14ac:dyDescent="0.25">
      <c r="A14" s="2" t="s">
        <v>19</v>
      </c>
      <c r="B14" s="4">
        <v>43906</v>
      </c>
      <c r="C14" s="1"/>
      <c r="D14" s="1"/>
      <c r="E14" s="1"/>
    </row>
    <row r="15" spans="1:7" ht="15" customHeight="1" x14ac:dyDescent="0.25">
      <c r="A15" s="64" t="s">
        <v>20</v>
      </c>
      <c r="B15" s="64"/>
      <c r="C15" s="64"/>
      <c r="D15" s="64"/>
      <c r="E15" s="64"/>
      <c r="F15" s="64"/>
      <c r="G15" s="64"/>
    </row>
    <row r="16" spans="1:7" ht="15.75" thickBot="1" x14ac:dyDescent="0.3">
      <c r="A16" s="61"/>
      <c r="B16" s="61"/>
      <c r="C16" s="61"/>
      <c r="D16" s="61"/>
      <c r="E16" s="61"/>
      <c r="F16" s="61"/>
      <c r="G16" s="61"/>
    </row>
    <row r="17" spans="1:8" x14ac:dyDescent="0.25">
      <c r="A17" s="66" t="s">
        <v>21</v>
      </c>
      <c r="B17" s="67"/>
      <c r="C17" s="67" t="s">
        <v>22</v>
      </c>
      <c r="D17" s="67" t="s">
        <v>23</v>
      </c>
      <c r="E17" s="67" t="s">
        <v>24</v>
      </c>
      <c r="F17" s="16" t="s">
        <v>25</v>
      </c>
      <c r="G17" s="16" t="s">
        <v>27</v>
      </c>
      <c r="H17" s="17" t="s">
        <v>63</v>
      </c>
    </row>
    <row r="18" spans="1:8" ht="15.75" thickBot="1" x14ac:dyDescent="0.3">
      <c r="A18" s="68"/>
      <c r="B18" s="69"/>
      <c r="C18" s="70"/>
      <c r="D18" s="70"/>
      <c r="E18" s="70"/>
      <c r="F18" s="32" t="s">
        <v>26</v>
      </c>
      <c r="G18" s="32" t="s">
        <v>28</v>
      </c>
      <c r="H18" s="19" t="s">
        <v>64</v>
      </c>
    </row>
    <row r="19" spans="1:8" ht="32.25" thickBot="1" x14ac:dyDescent="0.4">
      <c r="A19" s="59" t="s">
        <v>29</v>
      </c>
      <c r="B19" s="60"/>
      <c r="C19" s="35" t="s">
        <v>37</v>
      </c>
      <c r="D19" s="36" t="s">
        <v>38</v>
      </c>
      <c r="E19" s="36" t="s">
        <v>39</v>
      </c>
      <c r="F19" s="37">
        <v>0</v>
      </c>
      <c r="G19" s="34">
        <v>1585073</v>
      </c>
      <c r="H19" s="55">
        <v>1175</v>
      </c>
    </row>
    <row r="20" spans="1:8" ht="32.25" thickBot="1" x14ac:dyDescent="0.4">
      <c r="A20" s="58" t="s">
        <v>29</v>
      </c>
      <c r="B20" s="58"/>
      <c r="C20" s="15" t="s">
        <v>30</v>
      </c>
      <c r="D20" s="15" t="s">
        <v>35</v>
      </c>
      <c r="E20" s="38" t="s">
        <v>69</v>
      </c>
      <c r="F20" s="22">
        <v>0</v>
      </c>
      <c r="G20" s="33">
        <v>1105529</v>
      </c>
      <c r="H20" s="54">
        <v>1176</v>
      </c>
    </row>
    <row r="21" spans="1:8" ht="32.25" thickBot="1" x14ac:dyDescent="0.4">
      <c r="A21" s="58" t="s">
        <v>29</v>
      </c>
      <c r="B21" s="58"/>
      <c r="C21" s="8" t="s">
        <v>30</v>
      </c>
      <c r="D21" s="8" t="s">
        <v>41</v>
      </c>
      <c r="E21" s="39" t="s">
        <v>70</v>
      </c>
      <c r="F21" s="24">
        <v>0</v>
      </c>
      <c r="G21" s="23">
        <v>10352944</v>
      </c>
      <c r="H21" s="54">
        <v>1177</v>
      </c>
    </row>
    <row r="22" spans="1:8" ht="32.25" thickBot="1" x14ac:dyDescent="0.4">
      <c r="A22" s="58" t="s">
        <v>29</v>
      </c>
      <c r="B22" s="58"/>
      <c r="C22" s="8" t="s">
        <v>30</v>
      </c>
      <c r="D22" s="8" t="s">
        <v>36</v>
      </c>
      <c r="E22" s="39" t="s">
        <v>71</v>
      </c>
      <c r="F22" s="24">
        <v>0</v>
      </c>
      <c r="G22" s="23">
        <v>1381144</v>
      </c>
      <c r="H22" s="54">
        <v>1178</v>
      </c>
    </row>
    <row r="23" spans="1:8" ht="32.25" thickBot="1" x14ac:dyDescent="0.4">
      <c r="A23" s="58" t="s">
        <v>29</v>
      </c>
      <c r="B23" s="58"/>
      <c r="C23" s="8" t="s">
        <v>30</v>
      </c>
      <c r="D23" s="8" t="s">
        <v>43</v>
      </c>
      <c r="E23" s="39" t="s">
        <v>72</v>
      </c>
      <c r="F23" s="24">
        <v>0</v>
      </c>
      <c r="G23" s="23">
        <v>2766015</v>
      </c>
      <c r="H23" s="54">
        <v>1179</v>
      </c>
    </row>
    <row r="24" spans="1:8" ht="32.25" thickBot="1" x14ac:dyDescent="0.4">
      <c r="A24" s="58" t="s">
        <v>29</v>
      </c>
      <c r="B24" s="58"/>
      <c r="C24" s="8" t="s">
        <v>30</v>
      </c>
      <c r="D24" s="41" t="s">
        <v>40</v>
      </c>
      <c r="E24" s="42" t="s">
        <v>73</v>
      </c>
      <c r="F24" s="43">
        <v>0</v>
      </c>
      <c r="G24" s="44">
        <v>7728241</v>
      </c>
      <c r="H24" s="54">
        <v>1180</v>
      </c>
    </row>
    <row r="25" spans="1:8" ht="31.5" x14ac:dyDescent="0.35">
      <c r="A25" s="58" t="s">
        <v>29</v>
      </c>
      <c r="B25" s="58"/>
      <c r="C25" s="40" t="s">
        <v>30</v>
      </c>
      <c r="D25" s="49" t="s">
        <v>42</v>
      </c>
      <c r="E25" s="45" t="s">
        <v>75</v>
      </c>
      <c r="F25" s="50">
        <v>0</v>
      </c>
      <c r="G25" s="46">
        <v>2679170</v>
      </c>
      <c r="H25" s="54"/>
    </row>
    <row r="26" spans="1:8" ht="32.25" thickBot="1" x14ac:dyDescent="0.4">
      <c r="A26" s="58" t="s">
        <v>29</v>
      </c>
      <c r="B26" s="58"/>
      <c r="C26" s="40" t="s">
        <v>30</v>
      </c>
      <c r="D26" s="51" t="s">
        <v>42</v>
      </c>
      <c r="E26" s="47" t="s">
        <v>75</v>
      </c>
      <c r="F26" s="52">
        <v>0</v>
      </c>
      <c r="G26" s="48">
        <v>3990288</v>
      </c>
      <c r="H26" s="54"/>
    </row>
    <row r="27" spans="1:8" ht="18.75" customHeight="1" thickBot="1" x14ac:dyDescent="0.4">
      <c r="A27" s="14"/>
      <c r="B27" s="14"/>
      <c r="C27" s="14"/>
      <c r="D27" s="15"/>
      <c r="E27" s="15"/>
      <c r="F27" s="22" t="s">
        <v>74</v>
      </c>
      <c r="G27" s="33">
        <f>SUM(G25:G26)</f>
        <v>6669458</v>
      </c>
      <c r="H27" s="54">
        <v>1181</v>
      </c>
    </row>
    <row r="28" spans="1:8" ht="32.25" thickBot="1" x14ac:dyDescent="0.4">
      <c r="A28" s="58" t="s">
        <v>29</v>
      </c>
      <c r="B28" s="58"/>
      <c r="C28" s="8" t="s">
        <v>78</v>
      </c>
      <c r="D28" s="8" t="s">
        <v>34</v>
      </c>
      <c r="E28" s="39" t="s">
        <v>79</v>
      </c>
      <c r="F28" s="24">
        <v>0</v>
      </c>
      <c r="G28" s="23">
        <v>27454</v>
      </c>
      <c r="H28" s="54">
        <v>1182</v>
      </c>
    </row>
    <row r="29" spans="1:8" ht="32.25" thickBot="1" x14ac:dyDescent="0.4">
      <c r="A29" s="58" t="s">
        <v>29</v>
      </c>
      <c r="B29" s="58"/>
      <c r="C29" s="14" t="s">
        <v>76</v>
      </c>
      <c r="D29" s="8" t="s">
        <v>34</v>
      </c>
      <c r="E29" s="39" t="s">
        <v>77</v>
      </c>
      <c r="F29" s="24">
        <v>0</v>
      </c>
      <c r="G29" s="23">
        <v>213150</v>
      </c>
      <c r="H29" s="54">
        <v>1183</v>
      </c>
    </row>
    <row r="30" spans="1:8" ht="24" thickBot="1" x14ac:dyDescent="0.3">
      <c r="A30" s="58" t="s">
        <v>29</v>
      </c>
      <c r="B30" s="58"/>
      <c r="C30" s="8" t="s">
        <v>30</v>
      </c>
      <c r="D30" s="8" t="s">
        <v>44</v>
      </c>
      <c r="E30" s="39" t="s">
        <v>45</v>
      </c>
      <c r="F30" s="24">
        <v>0</v>
      </c>
      <c r="G30" s="23">
        <v>4640680</v>
      </c>
      <c r="H30" s="56" t="s">
        <v>80</v>
      </c>
    </row>
    <row r="31" spans="1:8" ht="30" customHeight="1" x14ac:dyDescent="0.25">
      <c r="A31" s="58" t="s">
        <v>29</v>
      </c>
      <c r="B31" s="58"/>
      <c r="C31" s="8" t="s">
        <v>30</v>
      </c>
      <c r="D31" s="8" t="s">
        <v>31</v>
      </c>
      <c r="E31" s="8" t="s">
        <v>32</v>
      </c>
      <c r="F31" s="13">
        <v>746699</v>
      </c>
      <c r="G31" s="26">
        <v>0</v>
      </c>
      <c r="H31" s="10"/>
    </row>
    <row r="32" spans="1:8" ht="30" customHeight="1" thickBot="1" x14ac:dyDescent="0.3">
      <c r="A32" s="58" t="s">
        <v>29</v>
      </c>
      <c r="B32" s="58"/>
      <c r="C32" s="41" t="s">
        <v>30</v>
      </c>
      <c r="D32" s="41" t="s">
        <v>33</v>
      </c>
      <c r="E32" s="41" t="s">
        <v>32</v>
      </c>
      <c r="F32" s="53">
        <v>84072291</v>
      </c>
      <c r="G32" s="27">
        <v>0</v>
      </c>
      <c r="H32" s="10"/>
    </row>
    <row r="33" spans="1:8" ht="30" x14ac:dyDescent="0.25">
      <c r="A33" s="58" t="s">
        <v>46</v>
      </c>
      <c r="B33" s="62"/>
      <c r="C33" s="49" t="s">
        <v>30</v>
      </c>
      <c r="D33" s="45" t="s">
        <v>49</v>
      </c>
      <c r="E33" s="45" t="s">
        <v>50</v>
      </c>
      <c r="F33" s="50">
        <v>0</v>
      </c>
      <c r="G33" s="46">
        <v>6686</v>
      </c>
      <c r="H33" s="25"/>
    </row>
    <row r="34" spans="1:8" ht="30" customHeight="1" thickBot="1" x14ac:dyDescent="0.3">
      <c r="A34" s="58" t="s">
        <v>46</v>
      </c>
      <c r="B34" s="62"/>
      <c r="C34" s="51" t="s">
        <v>30</v>
      </c>
      <c r="D34" s="47" t="s">
        <v>49</v>
      </c>
      <c r="E34" s="47" t="s">
        <v>50</v>
      </c>
      <c r="F34" s="52">
        <v>0</v>
      </c>
      <c r="G34" s="48">
        <v>490276</v>
      </c>
      <c r="H34" s="25"/>
    </row>
    <row r="35" spans="1:8" ht="18.75" customHeight="1" thickBot="1" x14ac:dyDescent="0.4">
      <c r="A35" s="14"/>
      <c r="B35" s="14"/>
      <c r="C35" s="15"/>
      <c r="D35" s="15"/>
      <c r="E35" s="15"/>
      <c r="F35" s="22" t="s">
        <v>74</v>
      </c>
      <c r="G35" s="33">
        <f>SUM(G33:G34)</f>
        <v>496962</v>
      </c>
      <c r="H35" s="54">
        <v>1184</v>
      </c>
    </row>
    <row r="36" spans="1:8" ht="32.25" thickBot="1" x14ac:dyDescent="0.4">
      <c r="A36" s="58" t="s">
        <v>46</v>
      </c>
      <c r="B36" s="58"/>
      <c r="C36" s="8" t="s">
        <v>30</v>
      </c>
      <c r="D36" s="8" t="s">
        <v>51</v>
      </c>
      <c r="E36" s="39" t="s">
        <v>52</v>
      </c>
      <c r="F36" s="24">
        <v>0</v>
      </c>
      <c r="G36" s="23">
        <v>419582</v>
      </c>
      <c r="H36" s="54">
        <v>1185</v>
      </c>
    </row>
    <row r="37" spans="1:8" ht="30" customHeight="1" x14ac:dyDescent="0.25">
      <c r="A37" s="58" t="s">
        <v>46</v>
      </c>
      <c r="B37" s="58"/>
      <c r="C37" s="8" t="s">
        <v>30</v>
      </c>
      <c r="D37" s="8" t="s">
        <v>47</v>
      </c>
      <c r="E37" s="8" t="s">
        <v>32</v>
      </c>
      <c r="F37" s="13">
        <v>66201</v>
      </c>
      <c r="G37" s="26">
        <v>0</v>
      </c>
      <c r="H37" s="10"/>
    </row>
    <row r="38" spans="1:8" ht="30" customHeight="1" x14ac:dyDescent="0.25">
      <c r="A38" s="58" t="s">
        <v>46</v>
      </c>
      <c r="B38" s="58"/>
      <c r="C38" s="8" t="s">
        <v>30</v>
      </c>
      <c r="D38" s="8" t="s">
        <v>48</v>
      </c>
      <c r="E38" s="8" t="s">
        <v>32</v>
      </c>
      <c r="F38" s="13">
        <v>1909240</v>
      </c>
      <c r="G38" s="21">
        <v>0</v>
      </c>
      <c r="H38" s="10"/>
    </row>
    <row r="39" spans="1:8" x14ac:dyDescent="0.25">
      <c r="A39" s="1"/>
      <c r="B39" s="1"/>
      <c r="C39" s="1"/>
      <c r="D39" s="1"/>
      <c r="E39" s="1"/>
      <c r="F39" s="5"/>
      <c r="G39" s="13">
        <f>G19+G20+G21+G22+G23+G24+G27+G28+G29+G30+G35+G36</f>
        <v>37386232</v>
      </c>
    </row>
    <row r="40" spans="1:8" x14ac:dyDescent="0.25">
      <c r="A40" s="63"/>
      <c r="B40" s="63"/>
      <c r="C40" s="63"/>
      <c r="D40" s="63"/>
      <c r="E40" s="63"/>
      <c r="F40" s="63"/>
      <c r="G40" s="63"/>
    </row>
    <row r="41" spans="1:8" x14ac:dyDescent="0.25">
      <c r="A41" s="61"/>
      <c r="B41" s="61"/>
      <c r="C41" s="61"/>
      <c r="D41" s="61"/>
      <c r="E41" s="61"/>
      <c r="F41" s="61"/>
      <c r="G41" s="61"/>
    </row>
    <row r="42" spans="1:8" ht="15" customHeight="1" x14ac:dyDescent="0.25">
      <c r="A42" s="64" t="s">
        <v>53</v>
      </c>
      <c r="B42" s="64"/>
      <c r="C42" s="64"/>
      <c r="D42" s="64"/>
      <c r="E42" s="64"/>
      <c r="F42" s="64"/>
      <c r="G42" s="64"/>
    </row>
    <row r="43" spans="1:8" x14ac:dyDescent="0.25">
      <c r="A43" s="61"/>
      <c r="B43" s="61"/>
      <c r="C43" s="61"/>
      <c r="D43" s="61"/>
      <c r="E43" s="61"/>
      <c r="F43" s="61"/>
      <c r="G43" s="61"/>
    </row>
    <row r="44" spans="1:8" x14ac:dyDescent="0.25">
      <c r="A44" s="8" t="s">
        <v>54</v>
      </c>
      <c r="B44" s="9">
        <v>5567161649</v>
      </c>
      <c r="C44" s="10"/>
    </row>
    <row r="45" spans="1:8" x14ac:dyDescent="0.25">
      <c r="A45" s="8" t="s">
        <v>55</v>
      </c>
      <c r="B45" s="11">
        <v>0</v>
      </c>
      <c r="C45" s="10"/>
    </row>
    <row r="46" spans="1:8" x14ac:dyDescent="0.25">
      <c r="A46" s="8" t="s">
        <v>56</v>
      </c>
      <c r="B46" s="9">
        <v>86794431</v>
      </c>
      <c r="C46" s="10"/>
    </row>
    <row r="47" spans="1:8" x14ac:dyDescent="0.25">
      <c r="A47" s="8" t="s">
        <v>57</v>
      </c>
      <c r="B47" s="11">
        <v>0</v>
      </c>
      <c r="C47" s="12">
        <f>B47+B48</f>
        <v>37386232</v>
      </c>
    </row>
    <row r="48" spans="1:8" x14ac:dyDescent="0.25">
      <c r="A48" s="8" t="s">
        <v>58</v>
      </c>
      <c r="B48" s="9">
        <v>37386232</v>
      </c>
      <c r="C48" s="10"/>
    </row>
    <row r="49" spans="1:3" x14ac:dyDescent="0.25">
      <c r="A49" s="8" t="s">
        <v>59</v>
      </c>
      <c r="B49" s="13">
        <v>5517753450</v>
      </c>
      <c r="C49" s="10"/>
    </row>
    <row r="50" spans="1:3" x14ac:dyDescent="0.25">
      <c r="A50" s="7"/>
    </row>
    <row r="51" spans="1:3" x14ac:dyDescent="0.25">
      <c r="A51" s="7"/>
    </row>
    <row r="52" spans="1:3" x14ac:dyDescent="0.25">
      <c r="A52" s="7"/>
    </row>
  </sheetData>
  <sortState xmlns:xlrd2="http://schemas.microsoft.com/office/spreadsheetml/2017/richdata2" ref="C33:G38">
    <sortCondition ref="D33:D38"/>
  </sortState>
  <mergeCells count="32">
    <mergeCell ref="A3:E3"/>
    <mergeCell ref="A4:E4"/>
    <mergeCell ref="A1:E1"/>
    <mergeCell ref="A2:F2"/>
    <mergeCell ref="A17:B18"/>
    <mergeCell ref="C17:C18"/>
    <mergeCell ref="D17:D18"/>
    <mergeCell ref="E17:E18"/>
    <mergeCell ref="A15:G15"/>
    <mergeCell ref="A16:G16"/>
    <mergeCell ref="A43:G43"/>
    <mergeCell ref="A32:B32"/>
    <mergeCell ref="A33:B33"/>
    <mergeCell ref="A34:B34"/>
    <mergeCell ref="A36:B36"/>
    <mergeCell ref="A37:B37"/>
    <mergeCell ref="A38:B38"/>
    <mergeCell ref="A40:G40"/>
    <mergeCell ref="A41:G41"/>
    <mergeCell ref="A42:G42"/>
    <mergeCell ref="A31:B31"/>
    <mergeCell ref="A19:B19"/>
    <mergeCell ref="A20:B20"/>
    <mergeCell ref="A21:B21"/>
    <mergeCell ref="A22:B22"/>
    <mergeCell ref="A23:B23"/>
    <mergeCell ref="A25:B25"/>
    <mergeCell ref="A26:B26"/>
    <mergeCell ref="A28:B28"/>
    <mergeCell ref="A29:B29"/>
    <mergeCell ref="A30:B30"/>
    <mergeCell ref="A24:B24"/>
  </mergeCells>
  <pageMargins left="0.75" right="0.75" top="1" bottom="1" header="0.5" footer="0.5"/>
  <pageSetup scale="62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37"/>
  <sheetViews>
    <sheetView workbookViewId="0">
      <selection activeCell="H19" sqref="H19"/>
    </sheetView>
  </sheetViews>
  <sheetFormatPr baseColWidth="10" defaultRowHeight="15" x14ac:dyDescent="0.25"/>
  <cols>
    <col min="1" max="1" width="17.85546875" bestFit="1" customWidth="1"/>
    <col min="2" max="2" width="16.28515625" customWidth="1"/>
    <col min="3" max="3" width="15.42578125" bestFit="1" customWidth="1"/>
    <col min="4" max="4" width="12.7109375" bestFit="1" customWidth="1"/>
    <col min="5" max="5" width="45.7109375" bestFit="1" customWidth="1"/>
    <col min="6" max="6" width="9.5703125" bestFit="1" customWidth="1"/>
    <col min="7" max="7" width="10.7109375" bestFit="1" customWidth="1"/>
  </cols>
  <sheetData>
    <row r="1" spans="1:7" ht="18" x14ac:dyDescent="0.25">
      <c r="A1" s="65" t="s">
        <v>0</v>
      </c>
      <c r="B1" s="65"/>
      <c r="C1" s="65"/>
      <c r="D1" s="65"/>
      <c r="E1" s="65"/>
    </row>
    <row r="2" spans="1:7" x14ac:dyDescent="0.25">
      <c r="A2" s="61"/>
      <c r="B2" s="61"/>
      <c r="C2" s="61"/>
      <c r="D2" s="61"/>
      <c r="E2" s="61"/>
      <c r="F2" s="61"/>
    </row>
    <row r="3" spans="1:7" ht="15" customHeight="1" x14ac:dyDescent="0.25">
      <c r="A3" s="64" t="s">
        <v>1</v>
      </c>
      <c r="B3" s="64"/>
      <c r="C3" s="64"/>
      <c r="D3" s="64"/>
      <c r="E3" s="64"/>
    </row>
    <row r="4" spans="1:7" x14ac:dyDescent="0.25">
      <c r="A4" s="61"/>
      <c r="B4" s="61"/>
      <c r="C4" s="61"/>
      <c r="D4" s="61"/>
      <c r="E4" s="61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9210920</v>
      </c>
      <c r="C7" s="1"/>
      <c r="D7" s="2" t="s">
        <v>11</v>
      </c>
      <c r="E7" s="4">
        <v>43910</v>
      </c>
    </row>
    <row r="8" spans="1:7" x14ac:dyDescent="0.25">
      <c r="A8" s="2" t="s">
        <v>12</v>
      </c>
      <c r="B8" s="1" t="s">
        <v>60</v>
      </c>
      <c r="C8" s="1"/>
      <c r="D8" s="1"/>
      <c r="E8" s="1"/>
    </row>
    <row r="9" spans="1:7" x14ac:dyDescent="0.25">
      <c r="A9" s="1"/>
    </row>
    <row r="10" spans="1:7" ht="21" x14ac:dyDescent="0.35">
      <c r="A10" s="2" t="s">
        <v>14</v>
      </c>
      <c r="F10" s="20" t="s">
        <v>68</v>
      </c>
    </row>
    <row r="11" spans="1:7" x14ac:dyDescent="0.25">
      <c r="A11" s="1"/>
    </row>
    <row r="12" spans="1:7" x14ac:dyDescent="0.25">
      <c r="A12" s="2" t="s">
        <v>15</v>
      </c>
      <c r="B12" s="3">
        <v>41</v>
      </c>
      <c r="C12" s="1"/>
      <c r="D12" s="2" t="s">
        <v>16</v>
      </c>
      <c r="E12" s="4">
        <v>43906</v>
      </c>
    </row>
    <row r="13" spans="1:7" x14ac:dyDescent="0.25">
      <c r="A13" s="2" t="s">
        <v>17</v>
      </c>
      <c r="B13" s="3">
        <v>1</v>
      </c>
      <c r="C13" s="1"/>
      <c r="D13" s="2" t="s">
        <v>18</v>
      </c>
      <c r="E13" s="4">
        <v>43906</v>
      </c>
    </row>
    <row r="14" spans="1:7" x14ac:dyDescent="0.25">
      <c r="A14" s="2" t="s">
        <v>19</v>
      </c>
      <c r="B14" s="4">
        <v>43906</v>
      </c>
      <c r="C14" s="1"/>
      <c r="D14" s="1"/>
      <c r="E14" s="1"/>
    </row>
    <row r="15" spans="1:7" ht="15" customHeight="1" x14ac:dyDescent="0.25">
      <c r="A15" s="64" t="s">
        <v>20</v>
      </c>
      <c r="B15" s="64"/>
      <c r="C15" s="64"/>
      <c r="D15" s="64"/>
      <c r="E15" s="64"/>
      <c r="F15" s="64"/>
      <c r="G15" s="64"/>
    </row>
    <row r="16" spans="1:7" ht="15.75" thickBot="1" x14ac:dyDescent="0.3">
      <c r="A16" s="61"/>
      <c r="B16" s="61"/>
      <c r="C16" s="61"/>
      <c r="D16" s="61"/>
      <c r="E16" s="61"/>
      <c r="F16" s="61"/>
      <c r="G16" s="61"/>
    </row>
    <row r="17" spans="1:8" x14ac:dyDescent="0.25">
      <c r="A17" s="66" t="s">
        <v>21</v>
      </c>
      <c r="B17" s="67"/>
      <c r="C17" s="67" t="s">
        <v>22</v>
      </c>
      <c r="D17" s="67" t="s">
        <v>23</v>
      </c>
      <c r="E17" s="67" t="s">
        <v>24</v>
      </c>
      <c r="F17" s="16" t="s">
        <v>25</v>
      </c>
      <c r="G17" s="16" t="s">
        <v>27</v>
      </c>
      <c r="H17" s="17" t="s">
        <v>67</v>
      </c>
    </row>
    <row r="18" spans="1:8" ht="15.75" thickBot="1" x14ac:dyDescent="0.3">
      <c r="A18" s="68"/>
      <c r="B18" s="69"/>
      <c r="C18" s="69"/>
      <c r="D18" s="69"/>
      <c r="E18" s="69"/>
      <c r="F18" s="18" t="s">
        <v>26</v>
      </c>
      <c r="G18" s="18" t="s">
        <v>28</v>
      </c>
      <c r="H18" s="28" t="s">
        <v>66</v>
      </c>
    </row>
    <row r="19" spans="1:8" ht="80.099999999999994" customHeight="1" thickBot="1" x14ac:dyDescent="0.3">
      <c r="A19" s="71" t="s">
        <v>29</v>
      </c>
      <c r="B19" s="71"/>
      <c r="C19" s="29" t="s">
        <v>61</v>
      </c>
      <c r="D19" s="29" t="s">
        <v>38</v>
      </c>
      <c r="E19" s="29" t="s">
        <v>62</v>
      </c>
      <c r="F19" s="30">
        <v>0</v>
      </c>
      <c r="G19" s="31">
        <v>8677942</v>
      </c>
      <c r="H19" s="57">
        <v>1244</v>
      </c>
    </row>
    <row r="20" spans="1:8" x14ac:dyDescent="0.25">
      <c r="A20" s="63"/>
      <c r="B20" s="63"/>
      <c r="C20" s="63"/>
      <c r="D20" s="63"/>
      <c r="E20" s="63"/>
      <c r="F20" s="63"/>
      <c r="G20" s="63"/>
    </row>
    <row r="21" spans="1:8" x14ac:dyDescent="0.25">
      <c r="A21" s="6"/>
      <c r="B21" s="6"/>
      <c r="C21" s="6"/>
      <c r="D21" s="6"/>
      <c r="E21" s="6"/>
      <c r="F21" s="6"/>
      <c r="G21" s="6"/>
    </row>
    <row r="22" spans="1:8" x14ac:dyDescent="0.25">
      <c r="A22" s="6"/>
      <c r="B22" s="6"/>
      <c r="C22" s="6"/>
      <c r="D22" s="6"/>
      <c r="E22" s="6"/>
      <c r="F22" s="6"/>
      <c r="G22" s="6"/>
    </row>
    <row r="23" spans="1:8" x14ac:dyDescent="0.25">
      <c r="A23" s="6"/>
      <c r="B23" s="6"/>
      <c r="C23" s="6"/>
      <c r="D23" s="6"/>
      <c r="E23" s="6"/>
      <c r="F23" s="6"/>
      <c r="G23" s="6"/>
    </row>
    <row r="24" spans="1:8" x14ac:dyDescent="0.25">
      <c r="A24" s="6"/>
      <c r="B24" s="6"/>
      <c r="C24" s="6"/>
      <c r="D24" s="6"/>
      <c r="E24" s="6"/>
      <c r="F24" s="6"/>
      <c r="G24" s="6"/>
    </row>
    <row r="25" spans="1:8" x14ac:dyDescent="0.25">
      <c r="A25" s="6"/>
      <c r="B25" s="6"/>
      <c r="C25" s="6"/>
      <c r="D25" s="6"/>
      <c r="E25" s="6"/>
      <c r="F25" s="6"/>
      <c r="G25" s="6"/>
    </row>
    <row r="26" spans="1:8" x14ac:dyDescent="0.25">
      <c r="A26" s="61"/>
      <c r="B26" s="61"/>
      <c r="C26" s="61"/>
      <c r="D26" s="61"/>
      <c r="E26" s="61"/>
      <c r="F26" s="61"/>
      <c r="G26" s="61"/>
    </row>
    <row r="27" spans="1:8" ht="15" customHeight="1" x14ac:dyDescent="0.25">
      <c r="A27" s="64" t="s">
        <v>53</v>
      </c>
      <c r="B27" s="64"/>
      <c r="C27" s="64"/>
      <c r="D27" s="64"/>
      <c r="E27" s="64"/>
      <c r="F27" s="64"/>
      <c r="G27" s="64"/>
    </row>
    <row r="28" spans="1:8" x14ac:dyDescent="0.25">
      <c r="A28" s="61"/>
      <c r="B28" s="61"/>
      <c r="C28" s="61"/>
      <c r="D28" s="61"/>
      <c r="E28" s="61"/>
      <c r="F28" s="61"/>
      <c r="G28" s="61"/>
    </row>
    <row r="29" spans="1:8" x14ac:dyDescent="0.25">
      <c r="A29" s="8" t="s">
        <v>54</v>
      </c>
      <c r="B29" s="9">
        <v>2521365203</v>
      </c>
      <c r="C29" s="10"/>
    </row>
    <row r="30" spans="1:8" x14ac:dyDescent="0.25">
      <c r="A30" s="8" t="s">
        <v>55</v>
      </c>
      <c r="B30" s="11">
        <v>0</v>
      </c>
      <c r="C30" s="10"/>
    </row>
    <row r="31" spans="1:8" x14ac:dyDescent="0.25">
      <c r="A31" s="8" t="s">
        <v>56</v>
      </c>
      <c r="B31" s="11">
        <v>0</v>
      </c>
      <c r="C31" s="10"/>
    </row>
    <row r="32" spans="1:8" x14ac:dyDescent="0.25">
      <c r="A32" s="8" t="s">
        <v>57</v>
      </c>
      <c r="B32" s="11">
        <v>0</v>
      </c>
      <c r="C32" s="12">
        <f>B32+B33</f>
        <v>8677942</v>
      </c>
    </row>
    <row r="33" spans="1:3" x14ac:dyDescent="0.25">
      <c r="A33" s="8" t="s">
        <v>58</v>
      </c>
      <c r="B33" s="9">
        <v>8677942</v>
      </c>
      <c r="C33" s="10"/>
    </row>
    <row r="34" spans="1:3" x14ac:dyDescent="0.25">
      <c r="A34" s="8" t="s">
        <v>59</v>
      </c>
      <c r="B34" s="13">
        <v>2530043145</v>
      </c>
      <c r="C34" s="10"/>
    </row>
    <row r="35" spans="1:3" x14ac:dyDescent="0.25">
      <c r="A35" s="7"/>
    </row>
    <row r="36" spans="1:3" x14ac:dyDescent="0.25">
      <c r="A36" s="7"/>
    </row>
    <row r="37" spans="1:3" x14ac:dyDescent="0.25">
      <c r="A37" s="7"/>
    </row>
  </sheetData>
  <mergeCells count="15">
    <mergeCell ref="A16:G16"/>
    <mergeCell ref="A1:E1"/>
    <mergeCell ref="A2:F2"/>
    <mergeCell ref="A3:E3"/>
    <mergeCell ref="A4:E4"/>
    <mergeCell ref="A15:G15"/>
    <mergeCell ref="A26:G26"/>
    <mergeCell ref="A27:G27"/>
    <mergeCell ref="A28:G28"/>
    <mergeCell ref="A17:B18"/>
    <mergeCell ref="C17:C18"/>
    <mergeCell ref="D17:D18"/>
    <mergeCell ref="E17:E18"/>
    <mergeCell ref="A19:B19"/>
    <mergeCell ref="A20:G20"/>
  </mergeCells>
  <pageMargins left="0.7" right="0.7" top="0.75" bottom="0.75" header="0.3" footer="0.3"/>
  <pageSetup scale="64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9210059</vt:lpstr>
      <vt:lpstr>9210920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2020-03-24T21:30:10Z</cp:lastPrinted>
  <dcterms:created xsi:type="dcterms:W3CDTF">2020-03-20T20:07:59Z</dcterms:created>
  <dcterms:modified xsi:type="dcterms:W3CDTF">2020-03-30T15:43:12Z</dcterms:modified>
</cp:coreProperties>
</file>