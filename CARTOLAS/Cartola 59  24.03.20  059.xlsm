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BCEBF224-6870-4093-A4A5-82E324957DC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0" i="2" l="1"/>
  <c r="G34" i="2" l="1"/>
  <c r="C48" i="2"/>
</calcChain>
</file>

<file path=xl/sharedStrings.xml><?xml version="1.0" encoding="utf-8"?>
<sst xmlns="http://schemas.openxmlformats.org/spreadsheetml/2006/main" count="120" uniqueCount="62">
  <si>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</si>
  <si>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</si>
  <si>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</si>
  <si>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</si>
  <si>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</si>
  <si>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</si>
  <si>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</si>
  <si>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</si>
  <si>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</si>
  <si>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</si>
  <si>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</si>
  <si>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</si>
  <si>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</si>
  <si>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</si>
  <si>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</si>
  <si>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</si>
  <si>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</si>
  <si>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</si>
  <si>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</si>
  <si>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</si>
  <si>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</si>
  <si>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</si>
  <si>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</si>
  <si>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</si>
  <si>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</si>
  <si>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</si>
  <si>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</si>
  <si>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</si>
  <si>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</si>
  <si>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24-03-2020  </t>
  </si>
  <si>
    <t>LAUTARO </t>
  </si>
  <si>
    <t>1231490 </t>
  </si>
  <si>
    <t>FRUTILLAR </t>
  </si>
  <si>
    <t>2003130 </t>
  </si>
  <si>
    <t>STGO.PRINCIPAL </t>
  </si>
  <si>
    <t>0205747 </t>
  </si>
  <si>
    <t>0204196 </t>
  </si>
  <si>
    <t>0215036 </t>
  </si>
  <si>
    <t>1350016 </t>
  </si>
  <si>
    <t>0001711 </t>
  </si>
  <si>
    <t>0203599 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</si>
  <si>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</si>
  <si>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</si>
  <si>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</si>
  <si>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</si>
  <si>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</si>
  <si>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</si>
  <si>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</si>
  <si>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Numeros</t>
  </si>
  <si>
    <t>Ingresos</t>
  </si>
  <si>
    <t>12    Comprobantes</t>
  </si>
  <si>
    <t>total</t>
  </si>
  <si>
    <t>61.608.108-K STGO.PRINCIPAL </t>
  </si>
  <si>
    <t>TRANSFERENCIA SISTEMA PAGO ALTO VALOR SERVICIO DE SALUD SUR  UNIDAD HOSPITALARIA</t>
  </si>
  <si>
    <t>ABONO PAGO A PROVEEDORES SUBSECRETARIA DE SALUD PUBLICA</t>
  </si>
  <si>
    <t>ABONO PAGO A PROVEEDORES MUNICIPALIDAD DE FUTRONO</t>
  </si>
  <si>
    <t>ABONO PAGO A PROVEEDORES MUNICIPALIDAD DE MONTE PATRIA</t>
  </si>
  <si>
    <t>ABONO PAGO A PROVEEDORES MUNICIPALIDAD DE CAUQUENES</t>
  </si>
  <si>
    <t>DEPOSITOCON DOCUMENTOS MUNICIPALIDAD DE LAUTARO</t>
  </si>
  <si>
    <t>PAGOS VARIOS DESDE BCO BCI CORPORACION MUNICIPAL DE ÑUÑOA</t>
  </si>
  <si>
    <t>70.932.800-K STGO.PRINCIPAL </t>
  </si>
  <si>
    <t>DEPOSITO CON DOCUMENTOS MUNICIPALIDAD DE FRUTILLAR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</si>
</sst>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2" xfId="0" applyBorder="1" applyAlignment="1">
      <alignment wrapText="1"/>
    </xf>
    <xf numFmtId="3" fontId="21" fillId="0" borderId="12" xfId="0" applyNumberFormat="1" applyFont="1" applyBorder="1" applyAlignment="1">
      <alignment horizontal="right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2" fillId="0" borderId="0" xfId="0" applyFont="1"/>
    <xf numFmtId="0" fontId="21" fillId="0" borderId="19" xfId="0" applyFont="1" applyBorder="1" applyAlignment="1">
      <alignment horizontal="right" wrapText="1"/>
    </xf>
    <xf numFmtId="3" fontId="23" fillId="0" borderId="11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21" fillId="0" borderId="22" xfId="0" applyFont="1" applyBorder="1" applyAlignment="1">
      <alignment horizontal="right" wrapText="1"/>
    </xf>
    <xf numFmtId="3" fontId="23" fillId="0" borderId="23" xfId="0" applyNumberFormat="1" applyFont="1" applyBorder="1" applyAlignment="1">
      <alignment horizontal="right" wrapText="1"/>
    </xf>
    <xf numFmtId="0" fontId="16" fillId="0" borderId="13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3" fontId="23" fillId="0" borderId="15" xfId="0" applyNumberFormat="1" applyFont="1" applyBorder="1" applyAlignment="1">
      <alignment horizontal="right" wrapText="1"/>
    </xf>
    <xf numFmtId="0" fontId="16" fillId="0" borderId="24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0" fontId="21" fillId="0" borderId="27" xfId="0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3" fontId="23" fillId="0" borderId="28" xfId="0" applyNumberFormat="1" applyFont="1" applyBorder="1" applyAlignment="1">
      <alignment horizontal="right" wrapText="1"/>
    </xf>
    <xf numFmtId="0" fontId="22" fillId="0" borderId="26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right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3"/>
  <sheetViews>
    <sheetView showGridLines="0" tabSelected="1" topLeftCell="A28" workbookViewId="0">
      <selection activeCell="K20" sqref="K20"/>
    </sheetView>
  </sheetViews>
  <sheetFormatPr baseColWidth="10" defaultRowHeight="15" x14ac:dyDescent="0.25"/>
  <cols>
    <col min="1" max="1" width="17.85546875" bestFit="1" customWidth="1"/>
    <col min="2" max="2" width="14.140625" customWidth="1"/>
    <col min="3" max="3" width="16.140625" bestFit="1" customWidth="1"/>
    <col min="4" max="4" width="12.7109375" bestFit="1" customWidth="1"/>
    <col min="5" max="5" width="41.140625" bestFit="1" customWidth="1"/>
    <col min="6" max="6" width="9.5703125" bestFit="1" customWidth="1"/>
    <col min="7" max="7" width="10.7109375" bestFit="1" customWidth="1"/>
  </cols>
  <sheetData>
    <row r="1" spans="1:7" ht="18" customHeight="1" x14ac:dyDescent="0.25">
      <c r="A1" s="47" t="s">
        <v>0</v>
      </c>
      <c r="B1" s="47"/>
      <c r="C1" s="47"/>
      <c r="D1" s="47"/>
      <c r="E1" s="47"/>
    </row>
    <row r="2" spans="1:7" x14ac:dyDescent="0.25">
      <c r="A2" s="46"/>
      <c r="B2" s="46"/>
      <c r="C2" s="46"/>
      <c r="D2" s="46"/>
      <c r="E2" s="46"/>
      <c r="F2" s="46"/>
    </row>
    <row r="3" spans="1:7" ht="15" customHeight="1" x14ac:dyDescent="0.25">
      <c r="A3" s="45" t="s">
        <v>1</v>
      </c>
      <c r="B3" s="45"/>
      <c r="C3" s="45"/>
      <c r="D3" s="45"/>
      <c r="E3" s="45"/>
    </row>
    <row r="4" spans="1:7" x14ac:dyDescent="0.25">
      <c r="A4" s="46"/>
      <c r="B4" s="46"/>
      <c r="C4" s="46"/>
      <c r="D4" s="46"/>
      <c r="E4" s="46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43917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19" t="s">
        <v>50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59</v>
      </c>
      <c r="C12" s="1"/>
      <c r="D12" s="2" t="s">
        <v>16</v>
      </c>
      <c r="E12" s="4">
        <v>43914</v>
      </c>
    </row>
    <row r="13" spans="1:7" x14ac:dyDescent="0.25">
      <c r="A13" s="2" t="s">
        <v>17</v>
      </c>
      <c r="B13" s="3">
        <v>20</v>
      </c>
      <c r="C13" s="1"/>
      <c r="D13" s="2" t="s">
        <v>18</v>
      </c>
      <c r="E13" s="4">
        <v>43914</v>
      </c>
    </row>
    <row r="14" spans="1:7" x14ac:dyDescent="0.25">
      <c r="A14" s="2" t="s">
        <v>19</v>
      </c>
      <c r="B14" s="4">
        <v>43914</v>
      </c>
      <c r="C14" s="1"/>
      <c r="D14" s="1"/>
      <c r="E14" s="1"/>
    </row>
    <row r="15" spans="1:7" ht="15" customHeight="1" x14ac:dyDescent="0.25">
      <c r="A15" s="45" t="s">
        <v>20</v>
      </c>
      <c r="B15" s="45"/>
      <c r="C15" s="45"/>
      <c r="D15" s="45"/>
      <c r="E15" s="45"/>
      <c r="F15" s="45"/>
      <c r="G15" s="45"/>
    </row>
    <row r="16" spans="1:7" ht="15.75" thickBot="1" x14ac:dyDescent="0.3">
      <c r="A16" s="46"/>
      <c r="B16" s="46"/>
      <c r="C16" s="46"/>
      <c r="D16" s="46"/>
      <c r="E16" s="46"/>
      <c r="F16" s="46"/>
      <c r="G16" s="46"/>
    </row>
    <row r="17" spans="1:8" x14ac:dyDescent="0.25">
      <c r="A17" s="48" t="s">
        <v>21</v>
      </c>
      <c r="B17" s="49"/>
      <c r="C17" s="49" t="s">
        <v>22</v>
      </c>
      <c r="D17" s="49" t="s">
        <v>23</v>
      </c>
      <c r="E17" s="49" t="s">
        <v>24</v>
      </c>
      <c r="F17" s="15" t="s">
        <v>25</v>
      </c>
      <c r="G17" s="15" t="s">
        <v>27</v>
      </c>
      <c r="H17" s="16" t="s">
        <v>48</v>
      </c>
    </row>
    <row r="18" spans="1:8" ht="15.75" thickBot="1" x14ac:dyDescent="0.3">
      <c r="A18" s="50"/>
      <c r="B18" s="51"/>
      <c r="C18" s="51"/>
      <c r="D18" s="51"/>
      <c r="E18" s="51"/>
      <c r="F18" s="17" t="s">
        <v>26</v>
      </c>
      <c r="G18" s="17" t="s">
        <v>28</v>
      </c>
      <c r="H18" s="18" t="s">
        <v>49</v>
      </c>
    </row>
    <row r="19" spans="1:8" ht="45.75" thickBot="1" x14ac:dyDescent="0.3">
      <c r="A19" s="53" t="s">
        <v>29</v>
      </c>
      <c r="B19" s="53"/>
      <c r="C19" s="13" t="s">
        <v>52</v>
      </c>
      <c r="D19" s="13" t="s">
        <v>39</v>
      </c>
      <c r="E19" s="38" t="s">
        <v>53</v>
      </c>
      <c r="F19" s="24">
        <v>0</v>
      </c>
      <c r="G19" s="21">
        <v>672140</v>
      </c>
      <c r="H19" s="43">
        <v>1264</v>
      </c>
    </row>
    <row r="20" spans="1:8" ht="30" customHeight="1" thickBot="1" x14ac:dyDescent="0.3">
      <c r="A20" s="52" t="s">
        <v>29</v>
      </c>
      <c r="B20" s="52"/>
      <c r="C20" s="7" t="s">
        <v>34</v>
      </c>
      <c r="D20" s="23" t="s">
        <v>40</v>
      </c>
      <c r="E20" s="39" t="s">
        <v>54</v>
      </c>
      <c r="F20" s="40">
        <v>0</v>
      </c>
      <c r="G20" s="42">
        <v>5755567</v>
      </c>
      <c r="H20" s="44">
        <v>1265</v>
      </c>
    </row>
    <row r="21" spans="1:8" ht="30" customHeight="1" x14ac:dyDescent="0.25">
      <c r="A21" s="52" t="s">
        <v>29</v>
      </c>
      <c r="B21" s="52"/>
      <c r="C21" s="22" t="s">
        <v>34</v>
      </c>
      <c r="D21" s="26" t="s">
        <v>36</v>
      </c>
      <c r="E21" s="27" t="s">
        <v>55</v>
      </c>
      <c r="F21" s="28">
        <v>0</v>
      </c>
      <c r="G21" s="29">
        <v>18154</v>
      </c>
      <c r="H21" s="44"/>
    </row>
    <row r="22" spans="1:8" ht="30" customHeight="1" x14ac:dyDescent="0.25">
      <c r="A22" s="52" t="s">
        <v>29</v>
      </c>
      <c r="B22" s="52"/>
      <c r="C22" s="22" t="s">
        <v>34</v>
      </c>
      <c r="D22" s="30" t="s">
        <v>36</v>
      </c>
      <c r="E22" s="31" t="s">
        <v>55</v>
      </c>
      <c r="F22" s="32">
        <v>0</v>
      </c>
      <c r="G22" s="33">
        <v>26360</v>
      </c>
      <c r="H22" s="44"/>
    </row>
    <row r="23" spans="1:8" ht="30" customHeight="1" x14ac:dyDescent="0.25">
      <c r="A23" s="52" t="s">
        <v>29</v>
      </c>
      <c r="B23" s="52"/>
      <c r="C23" s="22" t="s">
        <v>34</v>
      </c>
      <c r="D23" s="30" t="s">
        <v>36</v>
      </c>
      <c r="E23" s="31" t="s">
        <v>55</v>
      </c>
      <c r="F23" s="32">
        <v>0</v>
      </c>
      <c r="G23" s="33">
        <v>27958</v>
      </c>
      <c r="H23" s="44"/>
    </row>
    <row r="24" spans="1:8" ht="30" customHeight="1" x14ac:dyDescent="0.25">
      <c r="A24" s="52" t="s">
        <v>29</v>
      </c>
      <c r="B24" s="52"/>
      <c r="C24" s="22" t="s">
        <v>34</v>
      </c>
      <c r="D24" s="30" t="s">
        <v>36</v>
      </c>
      <c r="E24" s="31" t="s">
        <v>55</v>
      </c>
      <c r="F24" s="32">
        <v>0</v>
      </c>
      <c r="G24" s="33">
        <v>103635</v>
      </c>
      <c r="H24" s="44"/>
    </row>
    <row r="25" spans="1:8" ht="30" customHeight="1" x14ac:dyDescent="0.25">
      <c r="A25" s="52" t="s">
        <v>29</v>
      </c>
      <c r="B25" s="52"/>
      <c r="C25" s="22" t="s">
        <v>34</v>
      </c>
      <c r="D25" s="30" t="s">
        <v>36</v>
      </c>
      <c r="E25" s="31" t="s">
        <v>55</v>
      </c>
      <c r="F25" s="32">
        <v>0</v>
      </c>
      <c r="G25" s="33">
        <v>116594</v>
      </c>
      <c r="H25" s="44"/>
    </row>
    <row r="26" spans="1:8" ht="30" customHeight="1" x14ac:dyDescent="0.25">
      <c r="A26" s="52" t="s">
        <v>29</v>
      </c>
      <c r="B26" s="52"/>
      <c r="C26" s="22" t="s">
        <v>34</v>
      </c>
      <c r="D26" s="30" t="s">
        <v>36</v>
      </c>
      <c r="E26" s="31" t="s">
        <v>55</v>
      </c>
      <c r="F26" s="32">
        <v>0</v>
      </c>
      <c r="G26" s="33">
        <v>31468</v>
      </c>
      <c r="H26" s="44"/>
    </row>
    <row r="27" spans="1:8" ht="30" customHeight="1" x14ac:dyDescent="0.25">
      <c r="A27" s="52" t="s">
        <v>29</v>
      </c>
      <c r="B27" s="52"/>
      <c r="C27" s="22" t="s">
        <v>34</v>
      </c>
      <c r="D27" s="30" t="s">
        <v>36</v>
      </c>
      <c r="E27" s="31" t="s">
        <v>55</v>
      </c>
      <c r="F27" s="32">
        <v>0</v>
      </c>
      <c r="G27" s="33">
        <v>34604</v>
      </c>
      <c r="H27" s="44"/>
    </row>
    <row r="28" spans="1:8" ht="30" customHeight="1" x14ac:dyDescent="0.25">
      <c r="A28" s="52" t="s">
        <v>29</v>
      </c>
      <c r="B28" s="52"/>
      <c r="C28" s="22" t="s">
        <v>34</v>
      </c>
      <c r="D28" s="30" t="s">
        <v>36</v>
      </c>
      <c r="E28" s="31" t="s">
        <v>55</v>
      </c>
      <c r="F28" s="32">
        <v>0</v>
      </c>
      <c r="G28" s="33">
        <v>35348</v>
      </c>
      <c r="H28" s="44"/>
    </row>
    <row r="29" spans="1:8" ht="30" customHeight="1" x14ac:dyDescent="0.25">
      <c r="A29" s="52" t="s">
        <v>29</v>
      </c>
      <c r="B29" s="52"/>
      <c r="C29" s="22" t="s">
        <v>34</v>
      </c>
      <c r="D29" s="30" t="s">
        <v>36</v>
      </c>
      <c r="E29" s="31" t="s">
        <v>55</v>
      </c>
      <c r="F29" s="32">
        <v>0</v>
      </c>
      <c r="G29" s="33">
        <v>42327</v>
      </c>
      <c r="H29" s="44"/>
    </row>
    <row r="30" spans="1:8" ht="30" customHeight="1" x14ac:dyDescent="0.25">
      <c r="A30" s="52" t="s">
        <v>29</v>
      </c>
      <c r="B30" s="52"/>
      <c r="C30" s="22" t="s">
        <v>34</v>
      </c>
      <c r="D30" s="30" t="s">
        <v>36</v>
      </c>
      <c r="E30" s="31" t="s">
        <v>55</v>
      </c>
      <c r="F30" s="32">
        <v>0</v>
      </c>
      <c r="G30" s="33">
        <v>45927</v>
      </c>
      <c r="H30" s="44"/>
    </row>
    <row r="31" spans="1:8" ht="30" customHeight="1" x14ac:dyDescent="0.25">
      <c r="A31" s="52" t="s">
        <v>29</v>
      </c>
      <c r="B31" s="52"/>
      <c r="C31" s="22" t="s">
        <v>34</v>
      </c>
      <c r="D31" s="30" t="s">
        <v>36</v>
      </c>
      <c r="E31" s="31" t="s">
        <v>55</v>
      </c>
      <c r="F31" s="32">
        <v>0</v>
      </c>
      <c r="G31" s="33">
        <v>55995</v>
      </c>
      <c r="H31" s="44"/>
    </row>
    <row r="32" spans="1:8" ht="30" customHeight="1" x14ac:dyDescent="0.25">
      <c r="A32" s="52" t="s">
        <v>29</v>
      </c>
      <c r="B32" s="52"/>
      <c r="C32" s="22" t="s">
        <v>34</v>
      </c>
      <c r="D32" s="30" t="s">
        <v>36</v>
      </c>
      <c r="E32" s="31" t="s">
        <v>55</v>
      </c>
      <c r="F32" s="32">
        <v>0</v>
      </c>
      <c r="G32" s="33">
        <v>76448</v>
      </c>
      <c r="H32" s="44"/>
    </row>
    <row r="33" spans="1:8" ht="30" customHeight="1" thickBot="1" x14ac:dyDescent="0.3">
      <c r="A33" s="52" t="s">
        <v>29</v>
      </c>
      <c r="B33" s="52"/>
      <c r="C33" s="22" t="s">
        <v>34</v>
      </c>
      <c r="D33" s="34" t="s">
        <v>36</v>
      </c>
      <c r="E33" s="35" t="s">
        <v>55</v>
      </c>
      <c r="F33" s="36">
        <v>0</v>
      </c>
      <c r="G33" s="37">
        <v>95825</v>
      </c>
      <c r="H33" s="44"/>
    </row>
    <row r="34" spans="1:8" ht="19.5" customHeight="1" thickBot="1" x14ac:dyDescent="0.3">
      <c r="A34" s="7"/>
      <c r="B34" s="7"/>
      <c r="C34" s="7"/>
      <c r="D34" s="13"/>
      <c r="E34" s="13"/>
      <c r="F34" s="24" t="s">
        <v>51</v>
      </c>
      <c r="G34" s="25">
        <f>SUM(G21:G33)</f>
        <v>710643</v>
      </c>
      <c r="H34" s="44">
        <v>1266</v>
      </c>
    </row>
    <row r="35" spans="1:8" ht="30" customHeight="1" thickBot="1" x14ac:dyDescent="0.3">
      <c r="A35" s="52" t="s">
        <v>29</v>
      </c>
      <c r="B35" s="52"/>
      <c r="C35" s="7" t="s">
        <v>34</v>
      </c>
      <c r="D35" s="7" t="s">
        <v>35</v>
      </c>
      <c r="E35" s="41" t="s">
        <v>56</v>
      </c>
      <c r="F35" s="20">
        <v>0</v>
      </c>
      <c r="G35" s="21">
        <v>10657</v>
      </c>
      <c r="H35" s="44">
        <v>1267</v>
      </c>
    </row>
    <row r="36" spans="1:8" ht="30" customHeight="1" thickBot="1" x14ac:dyDescent="0.3">
      <c r="A36" s="52" t="s">
        <v>29</v>
      </c>
      <c r="B36" s="52"/>
      <c r="C36" s="7" t="s">
        <v>34</v>
      </c>
      <c r="D36" s="7" t="s">
        <v>37</v>
      </c>
      <c r="E36" s="41" t="s">
        <v>57</v>
      </c>
      <c r="F36" s="20">
        <v>0</v>
      </c>
      <c r="G36" s="21">
        <v>26739</v>
      </c>
      <c r="H36" s="44">
        <v>1268</v>
      </c>
    </row>
    <row r="37" spans="1:8" ht="30" customHeight="1" thickBot="1" x14ac:dyDescent="0.3">
      <c r="A37" s="52" t="s">
        <v>29</v>
      </c>
      <c r="B37" s="52"/>
      <c r="C37" s="7" t="s">
        <v>30</v>
      </c>
      <c r="D37" s="7" t="s">
        <v>31</v>
      </c>
      <c r="E37" s="41" t="s">
        <v>58</v>
      </c>
      <c r="F37" s="20">
        <v>0</v>
      </c>
      <c r="G37" s="21">
        <v>2148</v>
      </c>
      <c r="H37" s="44">
        <v>1269</v>
      </c>
    </row>
    <row r="38" spans="1:8" ht="30" customHeight="1" thickBot="1" x14ac:dyDescent="0.3">
      <c r="A38" s="52" t="s">
        <v>29</v>
      </c>
      <c r="B38" s="52"/>
      <c r="C38" s="7" t="s">
        <v>60</v>
      </c>
      <c r="D38" s="7" t="s">
        <v>38</v>
      </c>
      <c r="E38" s="41" t="s">
        <v>59</v>
      </c>
      <c r="F38" s="20">
        <v>0</v>
      </c>
      <c r="G38" s="21">
        <v>31323</v>
      </c>
      <c r="H38" s="44">
        <v>1270</v>
      </c>
    </row>
    <row r="39" spans="1:8" ht="30" customHeight="1" thickBot="1" x14ac:dyDescent="0.3">
      <c r="A39" s="52" t="s">
        <v>29</v>
      </c>
      <c r="B39" s="52"/>
      <c r="C39" s="7" t="s">
        <v>32</v>
      </c>
      <c r="D39" s="7" t="s">
        <v>33</v>
      </c>
      <c r="E39" s="41" t="s">
        <v>61</v>
      </c>
      <c r="F39" s="20">
        <v>0</v>
      </c>
      <c r="G39" s="21">
        <v>9306</v>
      </c>
      <c r="H39" s="44">
        <v>1271</v>
      </c>
    </row>
    <row r="40" spans="1:8" ht="15" customHeight="1" x14ac:dyDescent="0.25">
      <c r="A40" s="1"/>
      <c r="B40" s="1"/>
      <c r="C40" s="1"/>
      <c r="D40" s="1"/>
      <c r="E40" s="1"/>
      <c r="F40" s="5"/>
      <c r="G40" s="14">
        <f>G19+G20+G34+G35+G36+G37+G38+G39</f>
        <v>7218523</v>
      </c>
    </row>
    <row r="41" spans="1:8" x14ac:dyDescent="0.25">
      <c r="A41" s="54"/>
      <c r="B41" s="54"/>
      <c r="C41" s="54"/>
      <c r="D41" s="54"/>
      <c r="E41" s="54"/>
      <c r="F41" s="54"/>
      <c r="G41" s="54"/>
    </row>
    <row r="42" spans="1:8" x14ac:dyDescent="0.25">
      <c r="A42" s="46"/>
      <c r="B42" s="46"/>
      <c r="C42" s="46"/>
      <c r="D42" s="46"/>
      <c r="E42" s="46"/>
      <c r="F42" s="46"/>
      <c r="G42" s="46"/>
    </row>
    <row r="43" spans="1:8" ht="15" customHeight="1" x14ac:dyDescent="0.25">
      <c r="A43" s="45" t="s">
        <v>41</v>
      </c>
      <c r="B43" s="45"/>
      <c r="C43" s="45"/>
      <c r="D43" s="45"/>
      <c r="E43" s="45"/>
      <c r="F43" s="45"/>
      <c r="G43" s="45"/>
    </row>
    <row r="44" spans="1:8" x14ac:dyDescent="0.25">
      <c r="A44" s="46"/>
      <c r="B44" s="46"/>
      <c r="C44" s="46"/>
      <c r="D44" s="46"/>
      <c r="E44" s="46"/>
      <c r="F44" s="46"/>
      <c r="G44" s="46"/>
    </row>
    <row r="45" spans="1:8" x14ac:dyDescent="0.25">
      <c r="A45" s="7" t="s">
        <v>42</v>
      </c>
      <c r="B45" s="10">
        <v>4906651004</v>
      </c>
      <c r="C45" s="9"/>
    </row>
    <row r="46" spans="1:8" x14ac:dyDescent="0.25">
      <c r="A46" s="7" t="s">
        <v>43</v>
      </c>
      <c r="B46" s="11">
        <v>0</v>
      </c>
      <c r="C46" s="9"/>
    </row>
    <row r="47" spans="1:8" x14ac:dyDescent="0.25">
      <c r="A47" s="7" t="s">
        <v>44</v>
      </c>
      <c r="B47" s="11">
        <v>0</v>
      </c>
      <c r="C47" s="9"/>
    </row>
    <row r="48" spans="1:8" x14ac:dyDescent="0.25">
      <c r="A48" s="7" t="s">
        <v>45</v>
      </c>
      <c r="B48" s="10">
        <v>11454</v>
      </c>
      <c r="C48" s="12">
        <f>B48+B49</f>
        <v>7218523</v>
      </c>
    </row>
    <row r="49" spans="1:3" x14ac:dyDescent="0.25">
      <c r="A49" s="7" t="s">
        <v>46</v>
      </c>
      <c r="B49" s="10">
        <v>7207069</v>
      </c>
      <c r="C49" s="9"/>
    </row>
    <row r="50" spans="1:3" x14ac:dyDescent="0.25">
      <c r="A50" s="7" t="s">
        <v>47</v>
      </c>
      <c r="B50" s="8">
        <v>4913869527</v>
      </c>
      <c r="C50" s="9"/>
    </row>
    <row r="51" spans="1:3" x14ac:dyDescent="0.25">
      <c r="A51" s="6"/>
    </row>
    <row r="52" spans="1:3" x14ac:dyDescent="0.25">
      <c r="A52" s="6"/>
    </row>
    <row r="53" spans="1:3" x14ac:dyDescent="0.25">
      <c r="A53" s="6"/>
    </row>
  </sheetData>
  <sortState xmlns:xlrd2="http://schemas.microsoft.com/office/spreadsheetml/2017/richdata2" ref="C19:G39">
    <sortCondition ref="D19:D39"/>
  </sortState>
  <mergeCells count="34">
    <mergeCell ref="A30:B30"/>
    <mergeCell ref="A19:B19"/>
    <mergeCell ref="A43:G43"/>
    <mergeCell ref="A44:G44"/>
    <mergeCell ref="A38:B38"/>
    <mergeCell ref="A39:B39"/>
    <mergeCell ref="A41:G41"/>
    <mergeCell ref="A25:B25"/>
    <mergeCell ref="A26:B26"/>
    <mergeCell ref="A27:B27"/>
    <mergeCell ref="A28:B28"/>
    <mergeCell ref="A29:B29"/>
    <mergeCell ref="A42:G42"/>
    <mergeCell ref="A31:B31"/>
    <mergeCell ref="A32:B32"/>
    <mergeCell ref="A33:B33"/>
    <mergeCell ref="A35:B35"/>
    <mergeCell ref="A36:B36"/>
    <mergeCell ref="A37:B37"/>
    <mergeCell ref="A20:B20"/>
    <mergeCell ref="A21:B21"/>
    <mergeCell ref="A22:B22"/>
    <mergeCell ref="A23:B23"/>
    <mergeCell ref="A24:B24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</mergeCells>
  <pageMargins left="0.75" right="0.75" top="1" bottom="1" header="0.5" footer="0.5"/>
  <pageSetup scale="61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9210059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2020-03-31T15:52:05Z</cp:lastPrinted>
  <dcterms:created xsi:type="dcterms:W3CDTF">2020-03-27T17:54:49Z</dcterms:created>
  <dcterms:modified xsi:type="dcterms:W3CDTF">2020-04-02T15:07:19Z</dcterms:modified>
</cp:coreProperties>
</file>