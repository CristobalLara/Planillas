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E27B4732-ECBF-4ED9-A7A4-327D6220CF9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2" i="2" l="1"/>
  <c r="G50" i="2"/>
  <c r="G44" i="2"/>
  <c r="C60" i="2" l="1"/>
</calcChain>
</file>

<file path=xl/sharedStrings.xml><?xml version="1.0" encoding="utf-8"?>
<sst xmlns="http://schemas.openxmlformats.org/spreadsheetml/2006/main" count="165" uniqueCount="94">
  <si>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</si>
  <si>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</si>
  <si>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</si>
  <si>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</si>
  <si>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</si>
  <si>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</si>
  <si>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</si>
  <si>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</si>
  <si>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</si>
  <si>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</si>
  <si>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</si>
  <si>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</si>
  <si>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</si>
  <si>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</si>
  <si>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</si>
  <si>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</si>
  <si>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</si>
  <si>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</si>
  <si>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</si>
  <si>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</si>
  <si>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</si>
  <si>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</si>
  <si>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</si>
  <si>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</si>
  <si>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</si>
  <si>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</si>
  <si>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</si>
  <si>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</si>
  <si>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</si>
  <si>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27-03-2020  </t>
  </si>
  <si>
    <t>STGO.PRINCIPAL </t>
  </si>
  <si>
    <t>7041909 </t>
  </si>
  <si>
    <t>TRANSFERENCIA INTERNET A BANCO ESTADO S/TC CLIENTE</t>
  </si>
  <si>
    <t>0203403 </t>
  </si>
  <si>
    <t>0208360 </t>
  </si>
  <si>
    <t>0212883 </t>
  </si>
  <si>
    <t>0204485 </t>
  </si>
  <si>
    <t>1350016 </t>
  </si>
  <si>
    <t>SERVI IQUIQUE P </t>
  </si>
  <si>
    <t>5502090 </t>
  </si>
  <si>
    <t>CAUQUENES </t>
  </si>
  <si>
    <t>0000320 </t>
  </si>
  <si>
    <t>5502030 </t>
  </si>
  <si>
    <t>5502050 </t>
  </si>
  <si>
    <t>5502010 </t>
  </si>
  <si>
    <t>5502150 </t>
  </si>
  <si>
    <t>5501910 </t>
  </si>
  <si>
    <t>5501930 </t>
  </si>
  <si>
    <t>5501990 </t>
  </si>
  <si>
    <t>5501970 </t>
  </si>
  <si>
    <t>1800255 </t>
  </si>
  <si>
    <t>5501950 </t>
  </si>
  <si>
    <t>5501890 </t>
  </si>
  <si>
    <t>0201557 </t>
  </si>
  <si>
    <t>5502110 </t>
  </si>
  <si>
    <t>5502130 </t>
  </si>
  <si>
    <t>0203599 </t>
  </si>
  <si>
    <t>5502070 </t>
  </si>
  <si>
    <t>0203489 </t>
  </si>
  <si>
    <t>0209196 </t>
  </si>
  <si>
    <t>30-03-2020  </t>
  </si>
  <si>
    <t>7059734 </t>
  </si>
  <si>
    <t>TRANSFERENCIA OTRO BANCO A AGENCIA DE ADUANAS NEWES LTDA</t>
  </si>
  <si>
    <t>0001077 </t>
  </si>
  <si>
    <t>TRANSFERENCIA OTRO BANCO DE I MUNICIPALIDAD DE PINTO DEPTO DE SALUD</t>
  </si>
  <si>
    <t>TRANSFERENCIA OTRO BANCO DE I MUNICIPALIDAD DE VILLARRICA</t>
  </si>
  <si>
    <t>7055172 </t>
  </si>
  <si>
    <t>TRANSFERENCIA BANCOESTADO DE I MUNICIPALIDAD DE CANELA</t>
  </si>
  <si>
    <t>7056061 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</si>
  <si>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</si>
  <si>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</si>
  <si>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</si>
  <si>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</si>
  <si>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</si>
  <si>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</si>
  <si>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</si>
  <si>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</si>
  <si>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</si>
  <si>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Comprobantes</t>
  </si>
  <si>
    <t>DEPOSITO CON DOCUMENTOS MUNICIPALIDAD DE CAUQUENES</t>
  </si>
  <si>
    <t>ABONO PAGO A PROVEEDORES SERVICIO DE SALUD DEL MAULE</t>
  </si>
  <si>
    <t>ABONO PAGO A PROVEEDORES HOSPITAL DE CONCEPCION</t>
  </si>
  <si>
    <t>ABONO PAGO A PROVEEDORES SERVICIO DE SALUD DEL RELONCAVI</t>
  </si>
  <si>
    <t>ABONO PAGO A PROVEEDORES SUBSECRETARIA DE SALUD PUBLICA</t>
  </si>
  <si>
    <t>ABONO PAGO A PROVEEDORES SERVICIO DE SALUD DEL ÑUBLE HOSPITAL EL CARMEN</t>
  </si>
  <si>
    <t>ABONO PAGO A PROVEEDORES SERVICIO DE SALUD DEL MAULE HOSPITAL DE TALCA</t>
  </si>
  <si>
    <t>ABONO PAGO A PROVEEDORES MUNICIPALIDAD DE CON CON</t>
  </si>
  <si>
    <t>ABONO PAGO A PROVEEDORES MUNICIPALIDAD DE EL QUISCO</t>
  </si>
  <si>
    <t>70.878.900-3 STGO.PRINCIPAL </t>
  </si>
  <si>
    <t>PAGOS VARIOS DESDE BCO BCI CORPORACION MUNICIPAL DE QUILPUE</t>
  </si>
  <si>
    <t>69.265.100-6 STGO.PRINCIPAL </t>
  </si>
  <si>
    <t>BANCO DE CREDITO E INVERSIONES MUNICIPALIDAD DE ALTO HOSPICIO</t>
  </si>
  <si>
    <t>DEPOSITO CON DOCUMENTOS CORPURACION MUNICIPAL DE IQUIQUE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</si>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</sst>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3" fontId="21" fillId="0" borderId="0" xfId="0" applyNumberFormat="1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21" fillId="0" borderId="11" xfId="0" applyFont="1" applyBorder="1" applyAlignment="1">
      <alignment horizontal="right"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16" fillId="0" borderId="11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21" fillId="0" borderId="21" xfId="0" applyFont="1" applyBorder="1" applyAlignment="1">
      <alignment horizontal="right" wrapText="1"/>
    </xf>
    <xf numFmtId="0" fontId="0" fillId="0" borderId="24" xfId="0" applyBorder="1" applyAlignment="1">
      <alignment wrapText="1"/>
    </xf>
    <xf numFmtId="0" fontId="16" fillId="0" borderId="24" xfId="0" applyFont="1" applyBorder="1" applyAlignment="1">
      <alignment wrapText="1"/>
    </xf>
    <xf numFmtId="0" fontId="21" fillId="0" borderId="25" xfId="0" applyFont="1" applyBorder="1" applyAlignment="1">
      <alignment horizontal="right" wrapText="1"/>
    </xf>
    <xf numFmtId="3" fontId="23" fillId="0" borderId="26" xfId="0" applyNumberFormat="1" applyFont="1" applyBorder="1" applyAlignment="1">
      <alignment horizontal="right" wrapText="1"/>
    </xf>
    <xf numFmtId="3" fontId="23" fillId="0" borderId="27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28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9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16" fillId="0" borderId="16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21" fillId="0" borderId="23" xfId="0" applyFont="1" applyBorder="1" applyAlignment="1">
      <alignment horizontal="right" wrapText="1"/>
    </xf>
    <xf numFmtId="0" fontId="0" fillId="0" borderId="21" xfId="0" applyBorder="1" applyAlignment="1">
      <alignment wrapText="1"/>
    </xf>
    <xf numFmtId="0" fontId="24" fillId="0" borderId="20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0" xfId="0" applyAlignment="1">
      <alignment horizontal="right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65"/>
  <sheetViews>
    <sheetView showGridLines="0" tabSelected="1" topLeftCell="A43" workbookViewId="0">
      <selection activeCell="E57" sqref="E57"/>
    </sheetView>
  </sheetViews>
  <sheetFormatPr baseColWidth="10" defaultRowHeight="15" x14ac:dyDescent="0.25"/>
  <cols>
    <col min="1" max="1" width="17.85546875" bestFit="1" customWidth="1"/>
    <col min="2" max="2" width="13.85546875" customWidth="1"/>
    <col min="3" max="3" width="16.1406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0.7109375" bestFit="1" customWidth="1"/>
  </cols>
  <sheetData>
    <row r="1" spans="1:7" ht="18" customHeight="1" x14ac:dyDescent="0.25">
      <c r="A1" s="50" t="s">
        <v>0</v>
      </c>
      <c r="B1" s="50"/>
      <c r="C1" s="50"/>
      <c r="D1" s="50"/>
      <c r="E1" s="50"/>
    </row>
    <row r="2" spans="1:7" x14ac:dyDescent="0.25">
      <c r="A2" s="49"/>
      <c r="B2" s="49"/>
      <c r="C2" s="49"/>
      <c r="D2" s="49"/>
      <c r="E2" s="49"/>
      <c r="F2" s="49"/>
    </row>
    <row r="3" spans="1:7" ht="15" customHeight="1" x14ac:dyDescent="0.25">
      <c r="A3" s="48" t="s">
        <v>1</v>
      </c>
      <c r="B3" s="48"/>
      <c r="C3" s="48"/>
      <c r="D3" s="48"/>
      <c r="E3" s="48"/>
    </row>
    <row r="4" spans="1:7" x14ac:dyDescent="0.25">
      <c r="A4" s="49"/>
      <c r="B4" s="49"/>
      <c r="C4" s="49"/>
      <c r="D4" s="49"/>
      <c r="E4" s="49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43920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18.75" x14ac:dyDescent="0.3">
      <c r="A9" s="1"/>
      <c r="F9" s="20" t="s">
        <v>78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62</v>
      </c>
      <c r="C12" s="1"/>
      <c r="D12" s="2" t="s">
        <v>16</v>
      </c>
      <c r="E12" s="4">
        <v>43917</v>
      </c>
    </row>
    <row r="13" spans="1:7" x14ac:dyDescent="0.25">
      <c r="A13" s="2" t="s">
        <v>17</v>
      </c>
      <c r="B13" s="3">
        <v>31</v>
      </c>
      <c r="C13" s="1"/>
      <c r="D13" s="2" t="s">
        <v>18</v>
      </c>
      <c r="E13" s="4">
        <v>43920</v>
      </c>
    </row>
    <row r="14" spans="1:7" x14ac:dyDescent="0.25">
      <c r="A14" s="2" t="s">
        <v>19</v>
      </c>
      <c r="B14" s="4">
        <v>43917</v>
      </c>
      <c r="C14" s="1"/>
      <c r="D14" s="1"/>
      <c r="E14" s="1"/>
    </row>
    <row r="15" spans="1:7" ht="15" customHeight="1" x14ac:dyDescent="0.25">
      <c r="A15" s="48" t="s">
        <v>20</v>
      </c>
      <c r="B15" s="48"/>
      <c r="C15" s="48"/>
      <c r="D15" s="48"/>
      <c r="E15" s="48"/>
      <c r="F15" s="48"/>
      <c r="G15" s="48"/>
    </row>
    <row r="16" spans="1:7" ht="15.75" thickBot="1" x14ac:dyDescent="0.3">
      <c r="A16" s="49"/>
      <c r="B16" s="49"/>
      <c r="C16" s="49"/>
      <c r="D16" s="49"/>
      <c r="E16" s="49"/>
      <c r="F16" s="49"/>
      <c r="G16" s="49"/>
    </row>
    <row r="17" spans="1:8" x14ac:dyDescent="0.25">
      <c r="A17" s="51" t="s">
        <v>21</v>
      </c>
      <c r="B17" s="52"/>
      <c r="C17" s="52" t="s">
        <v>22</v>
      </c>
      <c r="D17" s="52" t="s">
        <v>23</v>
      </c>
      <c r="E17" s="52" t="s">
        <v>24</v>
      </c>
      <c r="F17" s="16" t="s">
        <v>25</v>
      </c>
      <c r="G17" s="16" t="s">
        <v>27</v>
      </c>
      <c r="H17" s="17" t="s">
        <v>76</v>
      </c>
    </row>
    <row r="18" spans="1:8" ht="15.75" thickBot="1" x14ac:dyDescent="0.3">
      <c r="A18" s="53"/>
      <c r="B18" s="54"/>
      <c r="C18" s="54"/>
      <c r="D18" s="54"/>
      <c r="E18" s="54"/>
      <c r="F18" s="18" t="s">
        <v>26</v>
      </c>
      <c r="G18" s="18" t="s">
        <v>28</v>
      </c>
      <c r="H18" s="19" t="s">
        <v>77</v>
      </c>
    </row>
    <row r="19" spans="1:8" ht="30" customHeight="1" thickBot="1" x14ac:dyDescent="0.3">
      <c r="A19" s="57" t="s">
        <v>29</v>
      </c>
      <c r="B19" s="57"/>
      <c r="C19" s="14" t="s">
        <v>40</v>
      </c>
      <c r="D19" s="14" t="s">
        <v>41</v>
      </c>
      <c r="E19" s="21" t="s">
        <v>79</v>
      </c>
      <c r="F19" s="22">
        <v>0</v>
      </c>
      <c r="G19" s="23">
        <v>71104</v>
      </c>
      <c r="H19" s="45">
        <v>1294</v>
      </c>
    </row>
    <row r="20" spans="1:8" ht="30" customHeight="1" thickBot="1" x14ac:dyDescent="0.3">
      <c r="A20" s="55" t="s">
        <v>29</v>
      </c>
      <c r="B20" s="55"/>
      <c r="C20" s="7" t="s">
        <v>30</v>
      </c>
      <c r="D20" s="7" t="s">
        <v>53</v>
      </c>
      <c r="E20" s="24" t="s">
        <v>80</v>
      </c>
      <c r="F20" s="25">
        <v>0</v>
      </c>
      <c r="G20" s="23">
        <v>620002</v>
      </c>
      <c r="H20" s="46">
        <v>1295</v>
      </c>
    </row>
    <row r="21" spans="1:8" ht="30" customHeight="1" thickBot="1" x14ac:dyDescent="0.3">
      <c r="A21" s="55" t="s">
        <v>29</v>
      </c>
      <c r="B21" s="55"/>
      <c r="C21" s="7" t="s">
        <v>30</v>
      </c>
      <c r="D21" s="7" t="s">
        <v>33</v>
      </c>
      <c r="E21" s="24" t="s">
        <v>81</v>
      </c>
      <c r="F21" s="25">
        <v>0</v>
      </c>
      <c r="G21" s="23">
        <v>2508724</v>
      </c>
      <c r="H21" s="45">
        <v>1296</v>
      </c>
    </row>
    <row r="22" spans="1:8" ht="30" customHeight="1" thickBot="1" x14ac:dyDescent="0.3">
      <c r="A22" s="55" t="s">
        <v>29</v>
      </c>
      <c r="B22" s="55"/>
      <c r="C22" s="7" t="s">
        <v>30</v>
      </c>
      <c r="D22" s="7" t="s">
        <v>58</v>
      </c>
      <c r="E22" s="24" t="s">
        <v>82</v>
      </c>
      <c r="F22" s="25">
        <v>0</v>
      </c>
      <c r="G22" s="23">
        <v>1673619</v>
      </c>
      <c r="H22" s="46">
        <v>1297</v>
      </c>
    </row>
    <row r="23" spans="1:8" ht="30" customHeight="1" thickBot="1" x14ac:dyDescent="0.3">
      <c r="A23" s="55" t="s">
        <v>29</v>
      </c>
      <c r="B23" s="55"/>
      <c r="C23" s="7" t="s">
        <v>30</v>
      </c>
      <c r="D23" s="7" t="s">
        <v>56</v>
      </c>
      <c r="E23" s="24" t="s">
        <v>83</v>
      </c>
      <c r="F23" s="25">
        <v>0</v>
      </c>
      <c r="G23" s="23">
        <v>1078188</v>
      </c>
      <c r="H23" s="45">
        <v>1298</v>
      </c>
    </row>
    <row r="24" spans="1:8" ht="30" customHeight="1" thickBot="1" x14ac:dyDescent="0.3">
      <c r="A24" s="55" t="s">
        <v>29</v>
      </c>
      <c r="B24" s="55"/>
      <c r="C24" s="7" t="s">
        <v>30</v>
      </c>
      <c r="D24" s="7" t="s">
        <v>36</v>
      </c>
      <c r="E24" s="24" t="s">
        <v>86</v>
      </c>
      <c r="F24" s="25">
        <v>0</v>
      </c>
      <c r="G24" s="23">
        <v>17896</v>
      </c>
      <c r="H24" s="46">
        <v>1299</v>
      </c>
    </row>
    <row r="25" spans="1:8" ht="30" customHeight="1" thickBot="1" x14ac:dyDescent="0.3">
      <c r="A25" s="55" t="s">
        <v>29</v>
      </c>
      <c r="B25" s="55"/>
      <c r="C25" s="7" t="s">
        <v>30</v>
      </c>
      <c r="D25" s="7" t="s">
        <v>34</v>
      </c>
      <c r="E25" s="24" t="s">
        <v>84</v>
      </c>
      <c r="F25" s="25">
        <v>0</v>
      </c>
      <c r="G25" s="23">
        <v>2761</v>
      </c>
      <c r="H25" s="45">
        <v>1300</v>
      </c>
    </row>
    <row r="26" spans="1:8" ht="30" customHeight="1" thickBot="1" x14ac:dyDescent="0.3">
      <c r="A26" s="55" t="s">
        <v>29</v>
      </c>
      <c r="B26" s="55"/>
      <c r="C26" s="7" t="s">
        <v>30</v>
      </c>
      <c r="D26" s="7" t="s">
        <v>59</v>
      </c>
      <c r="E26" s="24" t="s">
        <v>85</v>
      </c>
      <c r="F26" s="25">
        <v>0</v>
      </c>
      <c r="G26" s="23">
        <v>1717351</v>
      </c>
      <c r="H26" s="46">
        <v>1301</v>
      </c>
    </row>
    <row r="27" spans="1:8" ht="30" customHeight="1" thickBot="1" x14ac:dyDescent="0.3">
      <c r="A27" s="55" t="s">
        <v>29</v>
      </c>
      <c r="B27" s="55"/>
      <c r="C27" s="7" t="s">
        <v>30</v>
      </c>
      <c r="D27" s="7" t="s">
        <v>35</v>
      </c>
      <c r="E27" s="24" t="s">
        <v>87</v>
      </c>
      <c r="F27" s="25">
        <v>0</v>
      </c>
      <c r="G27" s="23">
        <v>5010</v>
      </c>
      <c r="H27" s="45">
        <v>1302</v>
      </c>
    </row>
    <row r="28" spans="1:8" ht="30" customHeight="1" thickBot="1" x14ac:dyDescent="0.3">
      <c r="A28" s="55" t="s">
        <v>29</v>
      </c>
      <c r="B28" s="55"/>
      <c r="C28" s="7" t="s">
        <v>88</v>
      </c>
      <c r="D28" s="7" t="s">
        <v>37</v>
      </c>
      <c r="E28" s="24" t="s">
        <v>89</v>
      </c>
      <c r="F28" s="25">
        <v>0</v>
      </c>
      <c r="G28" s="23">
        <v>40515</v>
      </c>
      <c r="H28" s="46">
        <v>1303</v>
      </c>
    </row>
    <row r="29" spans="1:8" ht="30" customHeight="1" thickBot="1" x14ac:dyDescent="0.3">
      <c r="A29" s="55" t="s">
        <v>29</v>
      </c>
      <c r="B29" s="55"/>
      <c r="C29" s="26" t="s">
        <v>90</v>
      </c>
      <c r="D29" s="26" t="s">
        <v>50</v>
      </c>
      <c r="E29" s="27" t="s">
        <v>91</v>
      </c>
      <c r="F29" s="28">
        <v>0</v>
      </c>
      <c r="G29" s="29">
        <v>532280</v>
      </c>
      <c r="H29" s="45">
        <v>1304</v>
      </c>
    </row>
    <row r="30" spans="1:8" ht="30" customHeight="1" x14ac:dyDescent="0.25">
      <c r="A30" s="55" t="s">
        <v>29</v>
      </c>
      <c r="B30" s="56"/>
      <c r="C30" s="31" t="s">
        <v>38</v>
      </c>
      <c r="D30" s="32" t="s">
        <v>52</v>
      </c>
      <c r="E30" s="32" t="s">
        <v>92</v>
      </c>
      <c r="F30" s="33">
        <v>0</v>
      </c>
      <c r="G30" s="34">
        <v>570283</v>
      </c>
      <c r="H30" s="46"/>
    </row>
    <row r="31" spans="1:8" ht="30" customHeight="1" x14ac:dyDescent="0.25">
      <c r="A31" s="55" t="s">
        <v>29</v>
      </c>
      <c r="B31" s="56"/>
      <c r="C31" s="35" t="s">
        <v>38</v>
      </c>
      <c r="D31" s="36" t="s">
        <v>46</v>
      </c>
      <c r="E31" s="36" t="s">
        <v>92</v>
      </c>
      <c r="F31" s="37">
        <v>0</v>
      </c>
      <c r="G31" s="38">
        <v>243422</v>
      </c>
      <c r="H31" s="46"/>
    </row>
    <row r="32" spans="1:8" ht="30" customHeight="1" x14ac:dyDescent="0.25">
      <c r="A32" s="55" t="s">
        <v>29</v>
      </c>
      <c r="B32" s="56"/>
      <c r="C32" s="35" t="s">
        <v>38</v>
      </c>
      <c r="D32" s="36" t="s">
        <v>47</v>
      </c>
      <c r="E32" s="36" t="s">
        <v>92</v>
      </c>
      <c r="F32" s="37">
        <v>0</v>
      </c>
      <c r="G32" s="38">
        <v>365008</v>
      </c>
      <c r="H32" s="46"/>
    </row>
    <row r="33" spans="1:8" ht="30" customHeight="1" x14ac:dyDescent="0.25">
      <c r="A33" s="55" t="s">
        <v>29</v>
      </c>
      <c r="B33" s="56"/>
      <c r="C33" s="35" t="s">
        <v>38</v>
      </c>
      <c r="D33" s="36" t="s">
        <v>51</v>
      </c>
      <c r="E33" s="36" t="s">
        <v>92</v>
      </c>
      <c r="F33" s="37">
        <v>0</v>
      </c>
      <c r="G33" s="38">
        <v>562580</v>
      </c>
      <c r="H33" s="46"/>
    </row>
    <row r="34" spans="1:8" ht="30" customHeight="1" x14ac:dyDescent="0.25">
      <c r="A34" s="55" t="s">
        <v>29</v>
      </c>
      <c r="B34" s="56"/>
      <c r="C34" s="35" t="s">
        <v>38</v>
      </c>
      <c r="D34" s="36" t="s">
        <v>49</v>
      </c>
      <c r="E34" s="36" t="s">
        <v>92</v>
      </c>
      <c r="F34" s="37">
        <v>0</v>
      </c>
      <c r="G34" s="38">
        <v>446567</v>
      </c>
      <c r="H34" s="46"/>
    </row>
    <row r="35" spans="1:8" ht="30" customHeight="1" x14ac:dyDescent="0.25">
      <c r="A35" s="55" t="s">
        <v>29</v>
      </c>
      <c r="B35" s="56"/>
      <c r="C35" s="35" t="s">
        <v>38</v>
      </c>
      <c r="D35" s="36" t="s">
        <v>48</v>
      </c>
      <c r="E35" s="36" t="s">
        <v>92</v>
      </c>
      <c r="F35" s="37">
        <v>0</v>
      </c>
      <c r="G35" s="38">
        <v>402676</v>
      </c>
      <c r="H35" s="46"/>
    </row>
    <row r="36" spans="1:8" ht="30" customHeight="1" x14ac:dyDescent="0.25">
      <c r="A36" s="55" t="s">
        <v>29</v>
      </c>
      <c r="B36" s="56"/>
      <c r="C36" s="35" t="s">
        <v>38</v>
      </c>
      <c r="D36" s="36" t="s">
        <v>44</v>
      </c>
      <c r="E36" s="36" t="s">
        <v>92</v>
      </c>
      <c r="F36" s="37">
        <v>0</v>
      </c>
      <c r="G36" s="38">
        <v>218633</v>
      </c>
      <c r="H36" s="46"/>
    </row>
    <row r="37" spans="1:8" ht="30" customHeight="1" x14ac:dyDescent="0.25">
      <c r="A37" s="55" t="s">
        <v>29</v>
      </c>
      <c r="B37" s="56"/>
      <c r="C37" s="35" t="s">
        <v>38</v>
      </c>
      <c r="D37" s="36" t="s">
        <v>42</v>
      </c>
      <c r="E37" s="36" t="s">
        <v>92</v>
      </c>
      <c r="F37" s="37">
        <v>0</v>
      </c>
      <c r="G37" s="38">
        <v>164945</v>
      </c>
      <c r="H37" s="46"/>
    </row>
    <row r="38" spans="1:8" ht="30" customHeight="1" x14ac:dyDescent="0.25">
      <c r="A38" s="55" t="s">
        <v>29</v>
      </c>
      <c r="B38" s="56"/>
      <c r="C38" s="35" t="s">
        <v>38</v>
      </c>
      <c r="D38" s="36" t="s">
        <v>43</v>
      </c>
      <c r="E38" s="36" t="s">
        <v>92</v>
      </c>
      <c r="F38" s="37">
        <v>0</v>
      </c>
      <c r="G38" s="38">
        <v>176168</v>
      </c>
      <c r="H38" s="46"/>
    </row>
    <row r="39" spans="1:8" ht="30" customHeight="1" x14ac:dyDescent="0.25">
      <c r="A39" s="55" t="s">
        <v>29</v>
      </c>
      <c r="B39" s="56"/>
      <c r="C39" s="35" t="s">
        <v>38</v>
      </c>
      <c r="D39" s="36" t="s">
        <v>57</v>
      </c>
      <c r="E39" s="36" t="s">
        <v>92</v>
      </c>
      <c r="F39" s="37">
        <v>0</v>
      </c>
      <c r="G39" s="38">
        <v>1149467</v>
      </c>
      <c r="H39" s="46"/>
    </row>
    <row r="40" spans="1:8" ht="30" customHeight="1" x14ac:dyDescent="0.25">
      <c r="A40" s="55" t="s">
        <v>29</v>
      </c>
      <c r="B40" s="56"/>
      <c r="C40" s="35" t="s">
        <v>38</v>
      </c>
      <c r="D40" s="36" t="s">
        <v>39</v>
      </c>
      <c r="E40" s="36" t="s">
        <v>92</v>
      </c>
      <c r="F40" s="37">
        <v>0</v>
      </c>
      <c r="G40" s="38">
        <v>63848</v>
      </c>
      <c r="H40" s="46"/>
    </row>
    <row r="41" spans="1:8" ht="30" customHeight="1" x14ac:dyDescent="0.25">
      <c r="A41" s="55" t="s">
        <v>29</v>
      </c>
      <c r="B41" s="56"/>
      <c r="C41" s="35" t="s">
        <v>38</v>
      </c>
      <c r="D41" s="36" t="s">
        <v>54</v>
      </c>
      <c r="E41" s="36" t="s">
        <v>92</v>
      </c>
      <c r="F41" s="37">
        <v>0</v>
      </c>
      <c r="G41" s="38">
        <v>676681</v>
      </c>
      <c r="H41" s="46"/>
    </row>
    <row r="42" spans="1:8" ht="30" customHeight="1" x14ac:dyDescent="0.25">
      <c r="A42" s="55" t="s">
        <v>29</v>
      </c>
      <c r="B42" s="56"/>
      <c r="C42" s="35" t="s">
        <v>38</v>
      </c>
      <c r="D42" s="36" t="s">
        <v>55</v>
      </c>
      <c r="E42" s="36" t="s">
        <v>92</v>
      </c>
      <c r="F42" s="37">
        <v>0</v>
      </c>
      <c r="G42" s="38">
        <v>811629</v>
      </c>
      <c r="H42" s="46"/>
    </row>
    <row r="43" spans="1:8" ht="30" customHeight="1" thickBot="1" x14ac:dyDescent="0.3">
      <c r="A43" s="55" t="s">
        <v>29</v>
      </c>
      <c r="B43" s="56"/>
      <c r="C43" s="39" t="s">
        <v>38</v>
      </c>
      <c r="D43" s="40" t="s">
        <v>45</v>
      </c>
      <c r="E43" s="40" t="s">
        <v>92</v>
      </c>
      <c r="F43" s="41">
        <v>0</v>
      </c>
      <c r="G43" s="42">
        <v>237754</v>
      </c>
      <c r="H43" s="46"/>
    </row>
    <row r="44" spans="1:8" ht="19.5" customHeight="1" thickBot="1" x14ac:dyDescent="0.3">
      <c r="A44" s="13"/>
      <c r="B44" s="13"/>
      <c r="C44" s="14"/>
      <c r="D44" s="14"/>
      <c r="E44" s="14"/>
      <c r="F44" s="22" t="s">
        <v>93</v>
      </c>
      <c r="G44" s="30">
        <f>SUM(G30:G43)</f>
        <v>6089661</v>
      </c>
      <c r="H44" s="46">
        <v>1305</v>
      </c>
    </row>
    <row r="45" spans="1:8" ht="30" customHeight="1" thickBot="1" x14ac:dyDescent="0.3">
      <c r="A45" s="55" t="s">
        <v>29</v>
      </c>
      <c r="B45" s="55"/>
      <c r="C45" s="7" t="s">
        <v>30</v>
      </c>
      <c r="D45" s="7" t="s">
        <v>31</v>
      </c>
      <c r="E45" s="7" t="s">
        <v>32</v>
      </c>
      <c r="F45" s="12">
        <v>66201</v>
      </c>
      <c r="G45" s="43">
        <v>0</v>
      </c>
      <c r="H45" s="47"/>
    </row>
    <row r="46" spans="1:8" ht="30" customHeight="1" thickBot="1" x14ac:dyDescent="0.3">
      <c r="A46" s="55" t="s">
        <v>60</v>
      </c>
      <c r="B46" s="55"/>
      <c r="C46" s="7" t="s">
        <v>30</v>
      </c>
      <c r="D46" s="7" t="s">
        <v>63</v>
      </c>
      <c r="E46" s="24" t="s">
        <v>64</v>
      </c>
      <c r="F46" s="25">
        <v>0</v>
      </c>
      <c r="G46" s="23">
        <v>4295</v>
      </c>
      <c r="H46" s="46">
        <v>1306</v>
      </c>
    </row>
    <row r="47" spans="1:8" ht="30" customHeight="1" thickBot="1" x14ac:dyDescent="0.3">
      <c r="A47" s="55" t="s">
        <v>60</v>
      </c>
      <c r="B47" s="55"/>
      <c r="C47" s="7" t="s">
        <v>30</v>
      </c>
      <c r="D47" s="26" t="s">
        <v>63</v>
      </c>
      <c r="E47" s="27" t="s">
        <v>65</v>
      </c>
      <c r="F47" s="28">
        <v>0</v>
      </c>
      <c r="G47" s="29">
        <v>739789</v>
      </c>
      <c r="H47" s="46">
        <v>1307</v>
      </c>
    </row>
    <row r="48" spans="1:8" ht="30" customHeight="1" x14ac:dyDescent="0.25">
      <c r="A48" s="55" t="s">
        <v>60</v>
      </c>
      <c r="B48" s="55"/>
      <c r="C48" s="44" t="s">
        <v>30</v>
      </c>
      <c r="D48" s="31" t="s">
        <v>66</v>
      </c>
      <c r="E48" s="32" t="s">
        <v>67</v>
      </c>
      <c r="F48" s="33">
        <v>0</v>
      </c>
      <c r="G48" s="34">
        <v>6000</v>
      </c>
      <c r="H48" s="46"/>
    </row>
    <row r="49" spans="1:8" ht="30" customHeight="1" thickBot="1" x14ac:dyDescent="0.3">
      <c r="A49" s="55" t="s">
        <v>60</v>
      </c>
      <c r="B49" s="55"/>
      <c r="C49" s="44" t="s">
        <v>30</v>
      </c>
      <c r="D49" s="39" t="s">
        <v>68</v>
      </c>
      <c r="E49" s="40" t="s">
        <v>67</v>
      </c>
      <c r="F49" s="41">
        <v>0</v>
      </c>
      <c r="G49" s="42">
        <v>65212</v>
      </c>
      <c r="H49" s="46"/>
    </row>
    <row r="50" spans="1:8" ht="21.75" customHeight="1" thickBot="1" x14ac:dyDescent="0.3">
      <c r="A50" s="13"/>
      <c r="B50" s="13"/>
      <c r="C50" s="13"/>
      <c r="D50" s="14"/>
      <c r="E50" s="14"/>
      <c r="F50" s="22" t="s">
        <v>93</v>
      </c>
      <c r="G50" s="30">
        <f>SUM(G48:G49)</f>
        <v>71212</v>
      </c>
      <c r="H50" s="46">
        <v>1308</v>
      </c>
    </row>
    <row r="51" spans="1:8" ht="30" customHeight="1" x14ac:dyDescent="0.25">
      <c r="A51" s="55" t="s">
        <v>60</v>
      </c>
      <c r="B51" s="55"/>
      <c r="C51" s="7" t="s">
        <v>30</v>
      </c>
      <c r="D51" s="7" t="s">
        <v>61</v>
      </c>
      <c r="E51" s="7" t="s">
        <v>62</v>
      </c>
      <c r="F51" s="12">
        <v>170000</v>
      </c>
      <c r="G51" s="15">
        <v>0</v>
      </c>
      <c r="H51" s="9"/>
    </row>
    <row r="52" spans="1:8" x14ac:dyDescent="0.25">
      <c r="A52" s="1"/>
      <c r="B52" s="1"/>
      <c r="C52" s="1"/>
      <c r="D52" s="1"/>
      <c r="E52" s="1"/>
      <c r="F52" s="5"/>
      <c r="G52" s="12">
        <f>G19+G20+G21+G22+G23+G24+G25+G26+G27+G28+G29+G44+G46+G47+G50</f>
        <v>15172407</v>
      </c>
    </row>
    <row r="53" spans="1:8" x14ac:dyDescent="0.25">
      <c r="A53" s="58"/>
      <c r="B53" s="58"/>
      <c r="C53" s="58"/>
      <c r="D53" s="58"/>
      <c r="E53" s="58"/>
      <c r="F53" s="58"/>
      <c r="G53" s="58"/>
    </row>
    <row r="54" spans="1:8" x14ac:dyDescent="0.25">
      <c r="A54" s="49"/>
      <c r="B54" s="49"/>
      <c r="C54" s="49"/>
      <c r="D54" s="49"/>
      <c r="E54" s="49"/>
      <c r="F54" s="49"/>
      <c r="G54" s="49"/>
    </row>
    <row r="55" spans="1:8" ht="15" customHeight="1" x14ac:dyDescent="0.25">
      <c r="A55" s="48" t="s">
        <v>69</v>
      </c>
      <c r="B55" s="48"/>
      <c r="C55" s="48"/>
      <c r="D55" s="48"/>
      <c r="E55" s="48"/>
      <c r="F55" s="48"/>
      <c r="G55" s="48"/>
    </row>
    <row r="56" spans="1:8" x14ac:dyDescent="0.25">
      <c r="A56" s="49"/>
      <c r="B56" s="49"/>
      <c r="C56" s="49"/>
      <c r="D56" s="49"/>
      <c r="E56" s="49"/>
      <c r="F56" s="49"/>
      <c r="G56" s="49"/>
    </row>
    <row r="57" spans="1:8" x14ac:dyDescent="0.25">
      <c r="A57" s="7" t="s">
        <v>70</v>
      </c>
      <c r="B57" s="8">
        <v>5031912031</v>
      </c>
      <c r="C57" s="9"/>
    </row>
    <row r="58" spans="1:8" x14ac:dyDescent="0.25">
      <c r="A58" s="7" t="s">
        <v>71</v>
      </c>
      <c r="B58" s="10">
        <v>0</v>
      </c>
      <c r="C58" s="9"/>
    </row>
    <row r="59" spans="1:8" x14ac:dyDescent="0.25">
      <c r="A59" s="7" t="s">
        <v>72</v>
      </c>
      <c r="B59" s="8">
        <v>236201</v>
      </c>
      <c r="C59" s="9"/>
    </row>
    <row r="60" spans="1:8" x14ac:dyDescent="0.25">
      <c r="A60" s="7" t="s">
        <v>73</v>
      </c>
      <c r="B60" s="8">
        <v>6160765</v>
      </c>
      <c r="C60" s="11">
        <f>B60+B61</f>
        <v>15172407</v>
      </c>
    </row>
    <row r="61" spans="1:8" x14ac:dyDescent="0.25">
      <c r="A61" s="7" t="s">
        <v>74</v>
      </c>
      <c r="B61" s="8">
        <v>9011642</v>
      </c>
      <c r="C61" s="9"/>
    </row>
    <row r="62" spans="1:8" x14ac:dyDescent="0.25">
      <c r="A62" s="7" t="s">
        <v>75</v>
      </c>
      <c r="B62" s="12">
        <v>5046848237</v>
      </c>
      <c r="C62" s="9"/>
    </row>
    <row r="63" spans="1:8" x14ac:dyDescent="0.25">
      <c r="A63" s="6"/>
    </row>
    <row r="64" spans="1:8" x14ac:dyDescent="0.25">
      <c r="A64" s="6"/>
    </row>
    <row r="65" spans="1:1" x14ac:dyDescent="0.25">
      <c r="A65" s="6"/>
    </row>
  </sheetData>
  <sortState xmlns:xlrd2="http://schemas.microsoft.com/office/spreadsheetml/2017/richdata2" ref="C46:G51">
    <sortCondition ref="D46:D51"/>
  </sortState>
  <mergeCells count="45">
    <mergeCell ref="A56:G56"/>
    <mergeCell ref="A51:B51"/>
    <mergeCell ref="A53:G53"/>
    <mergeCell ref="A15:G15"/>
    <mergeCell ref="A16:G16"/>
    <mergeCell ref="A54:G54"/>
    <mergeCell ref="A55:G55"/>
    <mergeCell ref="A43:B43"/>
    <mergeCell ref="A45:B45"/>
    <mergeCell ref="A46:B46"/>
    <mergeCell ref="A47:B47"/>
    <mergeCell ref="A48:B48"/>
    <mergeCell ref="A49:B49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30:B30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:E3"/>
    <mergeCell ref="A4:E4"/>
    <mergeCell ref="A1:E1"/>
    <mergeCell ref="A2:F2"/>
    <mergeCell ref="A17:B18"/>
    <mergeCell ref="C17:C18"/>
    <mergeCell ref="D17:D18"/>
    <mergeCell ref="E17:E18"/>
  </mergeCells>
  <pageMargins left="0.75" right="0.75" top="1" bottom="1" header="0.5" footer="0.5"/>
  <pageSetup scale="64" fitToHeight="0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2020-03-31T18:27:46Z</cp:lastPrinted>
  <dcterms:created xsi:type="dcterms:W3CDTF">2020-03-30T14:10:42Z</dcterms:created>
  <dcterms:modified xsi:type="dcterms:W3CDTF">2020-04-02T15:09:21Z</dcterms:modified>
</cp:coreProperties>
</file>