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4DDE705C-D133-45A2-BA74-326E635D0C2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3" i="2" l="1"/>
  <c r="G174" i="2"/>
  <c r="G165" i="2" l="1"/>
  <c r="G25" i="2"/>
  <c r="G162" i="2"/>
  <c r="C203" i="2"/>
  <c r="C32" i="3"/>
  <c r="G195" i="2" l="1"/>
</calcChain>
</file>

<file path=xl/sharedStrings.xml><?xml version="1.0" encoding="utf-8"?>
<sst xmlns="http://schemas.openxmlformats.org/spreadsheetml/2006/main" count="779" uniqueCount="95">
  <si>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</si>
  <si>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</si>
  <si>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</si>
  <si>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</si>
  <si>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</si>
  <si>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</si>
  <si>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</si>
  <si>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</si>
  <si>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</si>
  <si>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</si>
  <si>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</si>
  <si>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</si>
  <si>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</si>
  <si>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</si>
  <si>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</si>
  <si>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</si>
  <si>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</si>
  <si>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</si>
  <si>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</si>
  <si>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</si>
  <si>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</si>
  <si>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</si>
  <si>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</si>
  <si>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</si>
  <si>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</si>
  <si>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</si>
  <si>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</si>
  <si>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</si>
  <si>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</si>
  <si>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12-03-2020  </t>
  </si>
  <si>
    <t>STGO.PRINCIPAL </t>
  </si>
  <si>
    <t>0201794 </t>
  </si>
  <si>
    <t>1350039 </t>
  </si>
  <si>
    <t>0203599 </t>
  </si>
  <si>
    <t>0205761 </t>
  </si>
  <si>
    <t>SERVI ANGELES T </t>
  </si>
  <si>
    <t>2500940 </t>
  </si>
  <si>
    <t>0205747 </t>
  </si>
  <si>
    <t>CALBUCO </t>
  </si>
  <si>
    <t>0001782 </t>
  </si>
  <si>
    <t>PAGO DE CHEQUE CON DEPOSITO CUENTA CORRIENTE</t>
  </si>
  <si>
    <t>2500880 </t>
  </si>
  <si>
    <t>2500780 </t>
  </si>
  <si>
    <t>2500980 </t>
  </si>
  <si>
    <t>0207216 </t>
  </si>
  <si>
    <t>2500820 </t>
  </si>
  <si>
    <t>2501000 </t>
  </si>
  <si>
    <t>2500920 </t>
  </si>
  <si>
    <t>2501060 </t>
  </si>
  <si>
    <t>2500720 </t>
  </si>
  <si>
    <t>2500960 </t>
  </si>
  <si>
    <t>2501020 </t>
  </si>
  <si>
    <t>2500760 </t>
  </si>
  <si>
    <t>2500800 </t>
  </si>
  <si>
    <t>2500840 </t>
  </si>
  <si>
    <t>0206950 </t>
  </si>
  <si>
    <t>FUTRONO </t>
  </si>
  <si>
    <t>1350016 </t>
  </si>
  <si>
    <t>2500900 </t>
  </si>
  <si>
    <t>7062934 </t>
  </si>
  <si>
    <t>TRANSFERENCIA BANCOESTADO DE I MUNICIPALIDAD DE CARTAGENA</t>
  </si>
  <si>
    <t>2500860 </t>
  </si>
  <si>
    <t>0216369 </t>
  </si>
  <si>
    <t>2501040 </t>
  </si>
  <si>
    <t>2500740 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</si>
  <si>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</si>
  <si>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</si>
  <si>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</si>
  <si>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</si>
  <si>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</si>
  <si>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</si>
  <si>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</si>
  <si>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CENTRAL DE ABASTECIMIENTOS SNS EQUIP Y</t>
  </si>
  <si>
    <t>0203286 </t>
  </si>
  <si>
    <t>Numero</t>
  </si>
  <si>
    <t>ingreso</t>
  </si>
  <si>
    <t>12   Comprobantes</t>
  </si>
  <si>
    <t>Numeros</t>
  </si>
  <si>
    <t>Ingresos</t>
  </si>
  <si>
    <t>ABONO PAGO A PROVEEDORES MUNICIPALIDAD DE MONTE PATRIA</t>
  </si>
  <si>
    <t>69.040.800-7 STGO.PRINCIPAL </t>
  </si>
  <si>
    <t>TOTAL</t>
  </si>
  <si>
    <t>ABONO PAGO A PROVEEDORES MUNICIPALIDAD DE PEUMO</t>
  </si>
  <si>
    <t>ABONO PAGO A PROVEEDORES SUBSECRETARIA DE SALUD PUBLICA</t>
  </si>
  <si>
    <t>ABONO PAGO A PROVEEDORES SERVICIO DE SALUD DE IQUIQUE</t>
  </si>
  <si>
    <t>ABONO PAGO A PROVEEDORES INSTITUTO NACIONAL DE REHABILITACION</t>
  </si>
  <si>
    <t>ABONO PAGO A PROVEEDORES HOSPITAL PSIQUIATRICO DR.JOSE HORWITZ B.</t>
  </si>
  <si>
    <t>ABONO PAGO A PROVEEDORES COSULTORIO GENERAL URBANO DR. ALEJANDRO GUTIERREZ</t>
  </si>
  <si>
    <t>69.255.200-8 STGO.PRINCIPAL </t>
  </si>
  <si>
    <t>PAGOS VARIOS DESDE BCO BOSTON MUNICIPALIDAD DE LO BARNECHEA</t>
  </si>
  <si>
    <t>DEPOSITO CON DOCUMENTOS MUNICIPALIDAD DE LOS ANGELES</t>
  </si>
  <si>
    <t>69.190.700-7 STGO.PRINCIPAL </t>
  </si>
  <si>
    <t>PAGOS VARIOS DESDE BCO BCI MUNICIPALIDAD DE TEMUCO</t>
  </si>
  <si>
    <t>61.606.400-2 STGO.PRINCIPAL </t>
  </si>
  <si>
    <t>ABONO PAGO A PROVEEDORES SERVICIO DE SALUD DE COQUIMBO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</si>
</sst>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2" fillId="0" borderId="10">
      <alignment horizontal="center" vertical="center"/>
    </xf>
  </cellStyleXfs>
  <cellXfs count="82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0" fillId="0" borderId="0" xfId="0" applyAlignment="1">
      <alignment horizontal="right" wrapText="1"/>
    </xf>
    <xf numFmtId="0" fontId="21" fillId="0" borderId="0" xfId="0" applyFont="1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21" fillId="0" borderId="10" xfId="0" applyNumberFormat="1" applyFont="1" applyBorder="1" applyAlignment="1">
      <alignment horizontal="right" wrapText="1"/>
    </xf>
    <xf numFmtId="0" fontId="0" fillId="0" borderId="10" xfId="0" applyBorder="1"/>
    <xf numFmtId="3" fontId="0" fillId="0" borderId="10" xfId="0" applyNumberFormat="1" applyBorder="1" applyAlignment="1">
      <alignment horizontal="right" wrapText="1"/>
    </xf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0" fontId="0" fillId="0" borderId="12" xfId="0" applyBorder="1" applyAlignment="1">
      <alignment vertical="center" wrapText="1"/>
    </xf>
    <xf numFmtId="0" fontId="16" fillId="0" borderId="14" xfId="0" applyFont="1" applyBorder="1" applyAlignment="1">
      <alignment horizontal="right" vertical="top" wrapText="1"/>
    </xf>
    <xf numFmtId="0" fontId="16" fillId="0" borderId="15" xfId="0" applyFont="1" applyBorder="1"/>
    <xf numFmtId="0" fontId="16" fillId="0" borderId="17" xfId="0" applyFont="1" applyBorder="1" applyAlignment="1">
      <alignment horizontal="right" vertical="top" wrapText="1"/>
    </xf>
    <xf numFmtId="0" fontId="16" fillId="0" borderId="18" xfId="0" applyFont="1" applyBorder="1"/>
    <xf numFmtId="0" fontId="22" fillId="0" borderId="0" xfId="0" applyFont="1"/>
    <xf numFmtId="3" fontId="21" fillId="0" borderId="12" xfId="0" applyNumberFormat="1" applyFont="1" applyBorder="1" applyAlignment="1">
      <alignment horizontal="right" wrapText="1"/>
    </xf>
    <xf numFmtId="0" fontId="0" fillId="0" borderId="12" xfId="0" applyBorder="1" applyAlignment="1">
      <alignment wrapText="1"/>
    </xf>
    <xf numFmtId="0" fontId="16" fillId="0" borderId="10" xfId="0" applyFon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/>
    <xf numFmtId="0" fontId="0" fillId="0" borderId="21" xfId="0" applyBorder="1" applyAlignment="1">
      <alignment wrapText="1"/>
    </xf>
    <xf numFmtId="0" fontId="16" fillId="0" borderId="0" xfId="0" applyFont="1" applyBorder="1" applyAlignment="1">
      <alignment wrapText="1"/>
    </xf>
    <xf numFmtId="0" fontId="16" fillId="0" borderId="14" xfId="0" applyFont="1" applyBorder="1" applyAlignment="1">
      <alignment wrapText="1"/>
    </xf>
    <xf numFmtId="0" fontId="16" fillId="0" borderId="17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23" fillId="0" borderId="14" xfId="0" applyFont="1" applyBorder="1" applyAlignment="1">
      <alignment horizontal="right" wrapText="1"/>
    </xf>
    <xf numFmtId="3" fontId="23" fillId="0" borderId="15" xfId="0" applyNumberFormat="1" applyFont="1" applyBorder="1" applyAlignment="1">
      <alignment horizontal="right" wrapText="1"/>
    </xf>
    <xf numFmtId="0" fontId="16" fillId="0" borderId="22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3" fontId="23" fillId="0" borderId="23" xfId="0" applyNumberFormat="1" applyFont="1" applyBorder="1" applyAlignment="1">
      <alignment horizontal="right" wrapText="1"/>
    </xf>
    <xf numFmtId="0" fontId="16" fillId="0" borderId="16" xfId="0" applyFont="1" applyBorder="1" applyAlignment="1">
      <alignment wrapText="1"/>
    </xf>
    <xf numFmtId="0" fontId="23" fillId="0" borderId="17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23" fillId="0" borderId="10" xfId="0" applyFont="1" applyBorder="1" applyAlignment="1">
      <alignment horizontal="right" wrapText="1"/>
    </xf>
    <xf numFmtId="3" fontId="23" fillId="0" borderId="10" xfId="0" applyNumberFormat="1" applyFont="1" applyBorder="1" applyAlignment="1">
      <alignment horizontal="right" wrapText="1"/>
    </xf>
    <xf numFmtId="0" fontId="0" fillId="0" borderId="26" xfId="0" applyBorder="1"/>
    <xf numFmtId="0" fontId="16" fillId="0" borderId="27" xfId="0" applyFont="1" applyBorder="1" applyAlignment="1">
      <alignment wrapText="1"/>
    </xf>
    <xf numFmtId="0" fontId="16" fillId="0" borderId="28" xfId="0" applyFont="1" applyBorder="1" applyAlignment="1">
      <alignment wrapText="1"/>
    </xf>
    <xf numFmtId="0" fontId="23" fillId="0" borderId="28" xfId="0" applyFont="1" applyBorder="1" applyAlignment="1">
      <alignment horizontal="right" wrapText="1"/>
    </xf>
    <xf numFmtId="3" fontId="23" fillId="0" borderId="29" xfId="0" applyNumberFormat="1" applyFont="1" applyBorder="1" applyAlignment="1">
      <alignment horizontal="right" wrapText="1"/>
    </xf>
    <xf numFmtId="0" fontId="16" fillId="0" borderId="21" xfId="0" applyFont="1" applyBorder="1" applyAlignment="1">
      <alignment wrapText="1"/>
    </xf>
    <xf numFmtId="0" fontId="16" fillId="0" borderId="0" xfId="0" applyFont="1" applyBorder="1" applyAlignment="1">
      <alignment horizontal="right" vertical="top" wrapText="1"/>
    </xf>
    <xf numFmtId="0" fontId="21" fillId="0" borderId="25" xfId="0" applyFont="1" applyBorder="1" applyAlignment="1">
      <alignment horizontal="right" wrapText="1"/>
    </xf>
    <xf numFmtId="3" fontId="23" fillId="0" borderId="11" xfId="0" applyNumberFormat="1" applyFont="1" applyBorder="1" applyAlignment="1">
      <alignment horizontal="right" wrapText="1"/>
    </xf>
    <xf numFmtId="0" fontId="0" fillId="0" borderId="30" xfId="0" applyBorder="1" applyAlignment="1">
      <alignment wrapText="1"/>
    </xf>
    <xf numFmtId="0" fontId="21" fillId="0" borderId="31" xfId="0" applyFont="1" applyBorder="1" applyAlignment="1">
      <alignment horizontal="right" wrapText="1"/>
    </xf>
    <xf numFmtId="3" fontId="23" fillId="0" borderId="32" xfId="0" applyNumberFormat="1" applyFont="1" applyBorder="1" applyAlignment="1">
      <alignment horizontal="right" wrapText="1"/>
    </xf>
    <xf numFmtId="0" fontId="16" fillId="0" borderId="33" xfId="0" applyFont="1" applyBorder="1" applyAlignment="1">
      <alignment wrapText="1"/>
    </xf>
    <xf numFmtId="0" fontId="16" fillId="0" borderId="34" xfId="0" applyFont="1" applyBorder="1" applyAlignment="1">
      <alignment wrapText="1"/>
    </xf>
    <xf numFmtId="0" fontId="23" fillId="0" borderId="34" xfId="0" applyFont="1" applyBorder="1" applyAlignment="1">
      <alignment horizontal="right" wrapText="1"/>
    </xf>
    <xf numFmtId="3" fontId="23" fillId="0" borderId="35" xfId="0" applyNumberFormat="1" applyFont="1" applyBorder="1" applyAlignment="1">
      <alignment horizontal="right" wrapText="1"/>
    </xf>
    <xf numFmtId="0" fontId="16" fillId="0" borderId="12" xfId="0" applyFont="1" applyBorder="1" applyAlignment="1">
      <alignment wrapText="1"/>
    </xf>
    <xf numFmtId="0" fontId="23" fillId="0" borderId="11" xfId="0" applyFont="1" applyBorder="1" applyAlignment="1">
      <alignment horizontal="right" wrapText="1"/>
    </xf>
    <xf numFmtId="0" fontId="21" fillId="0" borderId="24" xfId="0" applyFont="1" applyBorder="1" applyAlignment="1">
      <alignment horizontal="right" wrapText="1"/>
    </xf>
    <xf numFmtId="0" fontId="21" fillId="0" borderId="19" xfId="0" applyFont="1" applyBorder="1" applyAlignment="1">
      <alignment horizontal="right" wrapText="1"/>
    </xf>
    <xf numFmtId="3" fontId="23" fillId="0" borderId="36" xfId="0" applyNumberFormat="1" applyFont="1" applyBorder="1" applyAlignment="1">
      <alignment horizontal="right" wrapText="1"/>
    </xf>
    <xf numFmtId="0" fontId="16" fillId="0" borderId="30" xfId="0" applyFont="1" applyBorder="1" applyAlignment="1">
      <alignment wrapText="1"/>
    </xf>
    <xf numFmtId="0" fontId="16" fillId="0" borderId="12" xfId="0" applyFont="1" applyBorder="1" applyAlignment="1">
      <alignment vertical="center" wrapText="1"/>
    </xf>
    <xf numFmtId="0" fontId="21" fillId="0" borderId="25" xfId="0" applyFont="1" applyBorder="1" applyAlignment="1">
      <alignment horizontal="right" vertical="center" wrapText="1"/>
    </xf>
    <xf numFmtId="0" fontId="22" fillId="0" borderId="10" xfId="44">
      <alignment horizontal="center" vertical="center"/>
    </xf>
    <xf numFmtId="3" fontId="23" fillId="0" borderId="11" xfId="0" applyNumberFormat="1" applyFont="1" applyBorder="1" applyAlignment="1">
      <alignment horizontal="center" vertical="center" wrapText="1"/>
    </xf>
    <xf numFmtId="0" fontId="22" fillId="0" borderId="20" xfId="44" applyBorder="1">
      <alignment horizontal="center" vertical="center"/>
    </xf>
    <xf numFmtId="3" fontId="23" fillId="0" borderId="37" xfId="0" applyNumberFormat="1" applyFont="1" applyBorder="1" applyAlignment="1">
      <alignment horizontal="right" wrapText="1"/>
    </xf>
    <xf numFmtId="0" fontId="16" fillId="0" borderId="0" xfId="0" applyFont="1" applyAlignment="1">
      <alignment wrapText="1"/>
    </xf>
    <xf numFmtId="0" fontId="0" fillId="0" borderId="0" xfId="0" applyAlignment="1">
      <alignment wrapText="1"/>
    </xf>
    <xf numFmtId="0" fontId="20" fillId="0" borderId="0" xfId="0" applyFont="1" applyAlignment="1">
      <alignment wrapText="1"/>
    </xf>
    <xf numFmtId="0" fontId="16" fillId="0" borderId="13" xfId="0" applyFont="1" applyBorder="1" applyAlignment="1">
      <alignment vertical="top" wrapText="1"/>
    </xf>
    <xf numFmtId="0" fontId="16" fillId="0" borderId="14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6" fillId="0" borderId="0" xfId="0" applyFont="1" applyBorder="1" applyAlignment="1">
      <alignment vertical="top" wrapText="1"/>
    </xf>
    <xf numFmtId="0" fontId="0" fillId="0" borderId="10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25" xfId="0" applyBorder="1" applyAlignment="1">
      <alignment wrapText="1"/>
    </xf>
    <xf numFmtId="0" fontId="0" fillId="0" borderId="0" xfId="0" applyAlignment="1">
      <alignment horizontal="right" wrapText="1"/>
    </xf>
    <xf numFmtId="0" fontId="0" fillId="0" borderId="12" xfId="0" applyBorder="1" applyAlignment="1">
      <alignment vertical="center" wrapText="1"/>
    </xf>
  </cellXfs>
  <cellStyles count="45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Estilo 1" xfId="44" xr:uid="{85BA5D8F-CFA6-411A-BBD6-ACB92475F3BA}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208"/>
  <sheetViews>
    <sheetView showGridLines="0" tabSelected="1" workbookViewId="0">
      <selection activeCell="E24" sqref="E24"/>
    </sheetView>
  </sheetViews>
  <sheetFormatPr baseColWidth="10" defaultRowHeight="15" x14ac:dyDescent="0.25"/>
  <cols>
    <col min="1" max="1" width="17.85546875" bestFit="1" customWidth="1"/>
    <col min="2" max="2" width="14.140625" customWidth="1"/>
    <col min="3" max="3" width="16.28515625" bestFit="1" customWidth="1"/>
    <col min="4" max="4" width="12.7109375" bestFit="1" customWidth="1"/>
    <col min="5" max="5" width="45.7109375" bestFit="1" customWidth="1"/>
    <col min="6" max="6" width="9.5703125" bestFit="1" customWidth="1"/>
    <col min="7" max="7" width="11.140625" bestFit="1" customWidth="1"/>
  </cols>
  <sheetData>
    <row r="1" spans="1:8" ht="18" customHeight="1" x14ac:dyDescent="0.25">
      <c r="A1" s="70" t="s">
        <v>0</v>
      </c>
      <c r="B1" s="70"/>
      <c r="C1" s="70"/>
      <c r="D1" s="70"/>
      <c r="E1" s="70"/>
    </row>
    <row r="2" spans="1:8" ht="15" customHeight="1" x14ac:dyDescent="0.25">
      <c r="A2" s="68" t="s">
        <v>1</v>
      </c>
      <c r="B2" s="68"/>
      <c r="C2" s="68"/>
      <c r="D2" s="68"/>
      <c r="E2" s="68"/>
    </row>
    <row r="3" spans="1:8" x14ac:dyDescent="0.25">
      <c r="A3" s="69"/>
      <c r="B3" s="69"/>
      <c r="C3" s="69"/>
      <c r="D3" s="69"/>
      <c r="E3" s="69"/>
    </row>
    <row r="4" spans="1:8" x14ac:dyDescent="0.25">
      <c r="A4" s="2" t="s">
        <v>2</v>
      </c>
      <c r="B4" s="3" t="s">
        <v>3</v>
      </c>
      <c r="C4" s="1"/>
      <c r="D4" s="2" t="s">
        <v>4</v>
      </c>
      <c r="E4" s="3" t="s">
        <v>5</v>
      </c>
    </row>
    <row r="5" spans="1:8" x14ac:dyDescent="0.25">
      <c r="A5" s="2" t="s">
        <v>6</v>
      </c>
      <c r="B5" s="3" t="s">
        <v>7</v>
      </c>
      <c r="C5" s="1"/>
      <c r="D5" s="2" t="s">
        <v>8</v>
      </c>
      <c r="E5" s="3" t="s">
        <v>9</v>
      </c>
    </row>
    <row r="6" spans="1:8" x14ac:dyDescent="0.25">
      <c r="A6" s="2" t="s">
        <v>10</v>
      </c>
      <c r="B6" s="3">
        <v>9210059</v>
      </c>
      <c r="C6" s="1"/>
      <c r="D6" s="2" t="s">
        <v>11</v>
      </c>
      <c r="E6" s="4">
        <v>43903</v>
      </c>
    </row>
    <row r="7" spans="1:8" x14ac:dyDescent="0.25">
      <c r="A7" s="2" t="s">
        <v>12</v>
      </c>
      <c r="B7" s="1" t="s">
        <v>13</v>
      </c>
      <c r="C7" s="1"/>
      <c r="D7" s="1"/>
      <c r="E7" s="1"/>
    </row>
    <row r="8" spans="1:8" ht="21" x14ac:dyDescent="0.35">
      <c r="A8" s="1"/>
      <c r="F8" s="19" t="s">
        <v>76</v>
      </c>
    </row>
    <row r="9" spans="1:8" x14ac:dyDescent="0.25">
      <c r="A9" s="2" t="s">
        <v>14</v>
      </c>
    </row>
    <row r="10" spans="1:8" x14ac:dyDescent="0.25">
      <c r="A10" s="1"/>
    </row>
    <row r="11" spans="1:8" x14ac:dyDescent="0.25">
      <c r="A11" s="2" t="s">
        <v>15</v>
      </c>
      <c r="B11" s="3">
        <v>51</v>
      </c>
      <c r="C11" s="1"/>
      <c r="D11" s="2" t="s">
        <v>16</v>
      </c>
      <c r="E11" s="4">
        <v>43902</v>
      </c>
    </row>
    <row r="12" spans="1:8" x14ac:dyDescent="0.25">
      <c r="A12" s="2" t="s">
        <v>17</v>
      </c>
      <c r="B12" s="3">
        <v>173</v>
      </c>
      <c r="C12" s="1"/>
      <c r="D12" s="2" t="s">
        <v>18</v>
      </c>
      <c r="E12" s="4">
        <v>43902</v>
      </c>
    </row>
    <row r="13" spans="1:8" x14ac:dyDescent="0.25">
      <c r="A13" s="2" t="s">
        <v>19</v>
      </c>
      <c r="B13" s="4">
        <v>43902</v>
      </c>
      <c r="C13" s="1"/>
      <c r="D13" s="1"/>
      <c r="E13" s="1"/>
    </row>
    <row r="14" spans="1:8" ht="15" customHeight="1" thickBot="1" x14ac:dyDescent="0.3">
      <c r="A14" s="68" t="s">
        <v>20</v>
      </c>
      <c r="B14" s="68"/>
      <c r="C14" s="68"/>
      <c r="D14" s="68"/>
      <c r="E14" s="68"/>
      <c r="F14" s="68"/>
      <c r="G14" s="68"/>
    </row>
    <row r="15" spans="1:8" x14ac:dyDescent="0.25">
      <c r="A15" s="71" t="s">
        <v>21</v>
      </c>
      <c r="B15" s="72"/>
      <c r="C15" s="72" t="s">
        <v>22</v>
      </c>
      <c r="D15" s="72" t="s">
        <v>23</v>
      </c>
      <c r="E15" s="72" t="s">
        <v>24</v>
      </c>
      <c r="F15" s="15" t="s">
        <v>25</v>
      </c>
      <c r="G15" s="15" t="s">
        <v>27</v>
      </c>
      <c r="H15" s="16" t="s">
        <v>77</v>
      </c>
    </row>
    <row r="16" spans="1:8" ht="15.75" thickBot="1" x14ac:dyDescent="0.3">
      <c r="A16" s="73"/>
      <c r="B16" s="74"/>
      <c r="C16" s="75"/>
      <c r="D16" s="75"/>
      <c r="E16" s="75"/>
      <c r="F16" s="46" t="s">
        <v>26</v>
      </c>
      <c r="G16" s="46" t="s">
        <v>28</v>
      </c>
      <c r="H16" s="18" t="s">
        <v>78</v>
      </c>
    </row>
    <row r="17" spans="1:8" ht="30" x14ac:dyDescent="0.25">
      <c r="A17" s="78" t="s">
        <v>29</v>
      </c>
      <c r="B17" s="79"/>
      <c r="C17" s="29" t="s">
        <v>38</v>
      </c>
      <c r="D17" s="27" t="s">
        <v>39</v>
      </c>
      <c r="E17" s="27" t="s">
        <v>40</v>
      </c>
      <c r="F17" s="30">
        <v>0</v>
      </c>
      <c r="G17" s="31">
        <v>681202</v>
      </c>
      <c r="H17" s="40"/>
    </row>
    <row r="18" spans="1:8" ht="30" x14ac:dyDescent="0.25">
      <c r="A18" s="76" t="s">
        <v>29</v>
      </c>
      <c r="B18" s="77"/>
      <c r="C18" s="32" t="s">
        <v>38</v>
      </c>
      <c r="D18" s="26" t="s">
        <v>39</v>
      </c>
      <c r="E18" s="26" t="s">
        <v>40</v>
      </c>
      <c r="F18" s="33">
        <v>0</v>
      </c>
      <c r="G18" s="34">
        <v>279017</v>
      </c>
      <c r="H18" s="24"/>
    </row>
    <row r="19" spans="1:8" ht="30" x14ac:dyDescent="0.25">
      <c r="A19" s="76" t="s">
        <v>29</v>
      </c>
      <c r="B19" s="77"/>
      <c r="C19" s="32" t="s">
        <v>38</v>
      </c>
      <c r="D19" s="26" t="s">
        <v>39</v>
      </c>
      <c r="E19" s="26" t="s">
        <v>40</v>
      </c>
      <c r="F19" s="33">
        <v>0</v>
      </c>
      <c r="G19" s="34">
        <v>323762</v>
      </c>
      <c r="H19" s="24"/>
    </row>
    <row r="20" spans="1:8" ht="30" x14ac:dyDescent="0.25">
      <c r="A20" s="76" t="s">
        <v>29</v>
      </c>
      <c r="B20" s="77"/>
      <c r="C20" s="32" t="s">
        <v>38</v>
      </c>
      <c r="D20" s="26" t="s">
        <v>39</v>
      </c>
      <c r="E20" s="26" t="s">
        <v>40</v>
      </c>
      <c r="F20" s="33">
        <v>0</v>
      </c>
      <c r="G20" s="34">
        <v>358787</v>
      </c>
      <c r="H20" s="24"/>
    </row>
    <row r="21" spans="1:8" ht="30" x14ac:dyDescent="0.25">
      <c r="A21" s="76" t="s">
        <v>29</v>
      </c>
      <c r="B21" s="77"/>
      <c r="C21" s="32" t="s">
        <v>38</v>
      </c>
      <c r="D21" s="26" t="s">
        <v>39</v>
      </c>
      <c r="E21" s="26" t="s">
        <v>40</v>
      </c>
      <c r="F21" s="33">
        <v>0</v>
      </c>
      <c r="G21" s="34">
        <v>444157</v>
      </c>
      <c r="H21" s="24"/>
    </row>
    <row r="22" spans="1:8" ht="30" x14ac:dyDescent="0.25">
      <c r="A22" s="76" t="s">
        <v>29</v>
      </c>
      <c r="B22" s="77"/>
      <c r="C22" s="32" t="s">
        <v>38</v>
      </c>
      <c r="D22" s="26" t="s">
        <v>39</v>
      </c>
      <c r="E22" s="26" t="s">
        <v>40</v>
      </c>
      <c r="F22" s="33">
        <v>0</v>
      </c>
      <c r="G22" s="34">
        <v>544985</v>
      </c>
      <c r="H22" s="24"/>
    </row>
    <row r="23" spans="1:8" ht="30" x14ac:dyDescent="0.25">
      <c r="A23" s="76" t="s">
        <v>29</v>
      </c>
      <c r="B23" s="77"/>
      <c r="C23" s="32" t="s">
        <v>38</v>
      </c>
      <c r="D23" s="26" t="s">
        <v>39</v>
      </c>
      <c r="E23" s="26" t="s">
        <v>40</v>
      </c>
      <c r="F23" s="33">
        <v>0</v>
      </c>
      <c r="G23" s="34">
        <v>607282</v>
      </c>
      <c r="H23" s="24"/>
    </row>
    <row r="24" spans="1:8" ht="30.75" thickBot="1" x14ac:dyDescent="0.3">
      <c r="A24" s="76" t="s">
        <v>29</v>
      </c>
      <c r="B24" s="77"/>
      <c r="C24" s="35" t="s">
        <v>38</v>
      </c>
      <c r="D24" s="28" t="s">
        <v>39</v>
      </c>
      <c r="E24" s="28" t="s">
        <v>40</v>
      </c>
      <c r="F24" s="36">
        <v>0</v>
      </c>
      <c r="G24" s="37">
        <v>659156</v>
      </c>
      <c r="H24" s="24"/>
    </row>
    <row r="25" spans="1:8" ht="21.75" thickBot="1" x14ac:dyDescent="0.3">
      <c r="A25" s="8"/>
      <c r="B25" s="8"/>
      <c r="C25" s="49"/>
      <c r="D25" s="49"/>
      <c r="E25" s="49"/>
      <c r="F25" s="50" t="s">
        <v>81</v>
      </c>
      <c r="G25" s="51">
        <f>SUM(G17:G24)</f>
        <v>3898348</v>
      </c>
      <c r="H25" s="64">
        <v>1108</v>
      </c>
    </row>
    <row r="26" spans="1:8" ht="30.75" thickBot="1" x14ac:dyDescent="0.3">
      <c r="A26" s="76" t="s">
        <v>29</v>
      </c>
      <c r="B26" s="77"/>
      <c r="C26" s="52" t="s">
        <v>56</v>
      </c>
      <c r="D26" s="53" t="s">
        <v>39</v>
      </c>
      <c r="E26" s="53" t="s">
        <v>40</v>
      </c>
      <c r="F26" s="54">
        <v>0</v>
      </c>
      <c r="G26" s="55">
        <v>252449</v>
      </c>
      <c r="H26" s="64">
        <v>1109</v>
      </c>
    </row>
    <row r="27" spans="1:8" ht="30.75" thickBot="1" x14ac:dyDescent="0.3">
      <c r="A27" s="76" t="s">
        <v>29</v>
      </c>
      <c r="B27" s="76"/>
      <c r="C27" s="21" t="s">
        <v>30</v>
      </c>
      <c r="D27" s="21" t="s">
        <v>31</v>
      </c>
      <c r="E27" s="56" t="s">
        <v>82</v>
      </c>
      <c r="F27" s="47">
        <v>0</v>
      </c>
      <c r="G27" s="57">
        <v>715</v>
      </c>
      <c r="H27" s="64">
        <v>1110</v>
      </c>
    </row>
    <row r="28" spans="1:8" ht="30.75" thickBot="1" x14ac:dyDescent="0.3">
      <c r="A28" s="76" t="s">
        <v>29</v>
      </c>
      <c r="B28" s="76"/>
      <c r="C28" s="8" t="s">
        <v>30</v>
      </c>
      <c r="D28" s="25" t="s">
        <v>33</v>
      </c>
      <c r="E28" s="45" t="s">
        <v>83</v>
      </c>
      <c r="F28" s="58">
        <v>0</v>
      </c>
      <c r="G28" s="51">
        <v>29007791</v>
      </c>
      <c r="H28" s="64">
        <v>1111</v>
      </c>
    </row>
    <row r="29" spans="1:8" ht="30" customHeight="1" x14ac:dyDescent="0.25">
      <c r="A29" s="76" t="s">
        <v>29</v>
      </c>
      <c r="B29" s="76"/>
      <c r="C29" s="23" t="s">
        <v>80</v>
      </c>
      <c r="D29" s="29" t="s">
        <v>37</v>
      </c>
      <c r="E29" s="27" t="s">
        <v>79</v>
      </c>
      <c r="F29" s="30">
        <v>0</v>
      </c>
      <c r="G29" s="31">
        <v>3369</v>
      </c>
      <c r="H29" s="64"/>
    </row>
    <row r="30" spans="1:8" ht="30" customHeight="1" x14ac:dyDescent="0.25">
      <c r="A30" s="76" t="s">
        <v>29</v>
      </c>
      <c r="B30" s="76"/>
      <c r="C30" s="23" t="s">
        <v>80</v>
      </c>
      <c r="D30" s="32" t="s">
        <v>37</v>
      </c>
      <c r="E30" s="26" t="s">
        <v>79</v>
      </c>
      <c r="F30" s="33">
        <v>0</v>
      </c>
      <c r="G30" s="34">
        <v>3725</v>
      </c>
      <c r="H30" s="64"/>
    </row>
    <row r="31" spans="1:8" ht="30" customHeight="1" x14ac:dyDescent="0.25">
      <c r="A31" s="76" t="s">
        <v>29</v>
      </c>
      <c r="B31" s="76"/>
      <c r="C31" s="23" t="s">
        <v>80</v>
      </c>
      <c r="D31" s="32" t="s">
        <v>37</v>
      </c>
      <c r="E31" s="26" t="s">
        <v>79</v>
      </c>
      <c r="F31" s="33">
        <v>0</v>
      </c>
      <c r="G31" s="34">
        <v>6026</v>
      </c>
      <c r="H31" s="64"/>
    </row>
    <row r="32" spans="1:8" ht="30" customHeight="1" x14ac:dyDescent="0.25">
      <c r="A32" s="76" t="s">
        <v>29</v>
      </c>
      <c r="B32" s="76"/>
      <c r="C32" s="23" t="s">
        <v>80</v>
      </c>
      <c r="D32" s="32" t="s">
        <v>37</v>
      </c>
      <c r="E32" s="26" t="s">
        <v>79</v>
      </c>
      <c r="F32" s="33">
        <v>0</v>
      </c>
      <c r="G32" s="34">
        <v>7823</v>
      </c>
      <c r="H32" s="64"/>
    </row>
    <row r="33" spans="1:8" ht="30" customHeight="1" x14ac:dyDescent="0.25">
      <c r="A33" s="76" t="s">
        <v>29</v>
      </c>
      <c r="B33" s="76"/>
      <c r="C33" s="23" t="s">
        <v>80</v>
      </c>
      <c r="D33" s="32" t="s">
        <v>37</v>
      </c>
      <c r="E33" s="26" t="s">
        <v>79</v>
      </c>
      <c r="F33" s="33">
        <v>0</v>
      </c>
      <c r="G33" s="34">
        <v>8298</v>
      </c>
      <c r="H33" s="64"/>
    </row>
    <row r="34" spans="1:8" ht="30" customHeight="1" x14ac:dyDescent="0.25">
      <c r="A34" s="76" t="s">
        <v>29</v>
      </c>
      <c r="B34" s="76"/>
      <c r="C34" s="23" t="s">
        <v>80</v>
      </c>
      <c r="D34" s="32" t="s">
        <v>37</v>
      </c>
      <c r="E34" s="26" t="s">
        <v>79</v>
      </c>
      <c r="F34" s="33">
        <v>0</v>
      </c>
      <c r="G34" s="34">
        <v>8963</v>
      </c>
      <c r="H34" s="64"/>
    </row>
    <row r="35" spans="1:8" ht="30" customHeight="1" x14ac:dyDescent="0.25">
      <c r="A35" s="76" t="s">
        <v>29</v>
      </c>
      <c r="B35" s="76"/>
      <c r="C35" s="23" t="s">
        <v>80</v>
      </c>
      <c r="D35" s="32" t="s">
        <v>37</v>
      </c>
      <c r="E35" s="26" t="s">
        <v>79</v>
      </c>
      <c r="F35" s="33">
        <v>0</v>
      </c>
      <c r="G35" s="34">
        <v>9718</v>
      </c>
      <c r="H35" s="64"/>
    </row>
    <row r="36" spans="1:8" ht="30" customHeight="1" x14ac:dyDescent="0.25">
      <c r="A36" s="76" t="s">
        <v>29</v>
      </c>
      <c r="B36" s="76"/>
      <c r="C36" s="23" t="s">
        <v>80</v>
      </c>
      <c r="D36" s="32" t="s">
        <v>37</v>
      </c>
      <c r="E36" s="26" t="s">
        <v>79</v>
      </c>
      <c r="F36" s="33">
        <v>0</v>
      </c>
      <c r="G36" s="34">
        <v>10013</v>
      </c>
      <c r="H36" s="64"/>
    </row>
    <row r="37" spans="1:8" ht="30" customHeight="1" x14ac:dyDescent="0.25">
      <c r="A37" s="76" t="s">
        <v>29</v>
      </c>
      <c r="B37" s="76"/>
      <c r="C37" s="23" t="s">
        <v>80</v>
      </c>
      <c r="D37" s="32" t="s">
        <v>37</v>
      </c>
      <c r="E37" s="26" t="s">
        <v>79</v>
      </c>
      <c r="F37" s="33">
        <v>0</v>
      </c>
      <c r="G37" s="34">
        <v>10030</v>
      </c>
      <c r="H37" s="64"/>
    </row>
    <row r="38" spans="1:8" ht="30" customHeight="1" x14ac:dyDescent="0.25">
      <c r="A38" s="76" t="s">
        <v>29</v>
      </c>
      <c r="B38" s="76"/>
      <c r="C38" s="23" t="s">
        <v>80</v>
      </c>
      <c r="D38" s="32" t="s">
        <v>37</v>
      </c>
      <c r="E38" s="26" t="s">
        <v>79</v>
      </c>
      <c r="F38" s="33">
        <v>0</v>
      </c>
      <c r="G38" s="34">
        <v>10566</v>
      </c>
      <c r="H38" s="64"/>
    </row>
    <row r="39" spans="1:8" ht="30" customHeight="1" x14ac:dyDescent="0.25">
      <c r="A39" s="76" t="s">
        <v>29</v>
      </c>
      <c r="B39" s="76"/>
      <c r="C39" s="23" t="s">
        <v>80</v>
      </c>
      <c r="D39" s="32" t="s">
        <v>37</v>
      </c>
      <c r="E39" s="26" t="s">
        <v>79</v>
      </c>
      <c r="F39" s="33">
        <v>0</v>
      </c>
      <c r="G39" s="34">
        <v>10603</v>
      </c>
      <c r="H39" s="64"/>
    </row>
    <row r="40" spans="1:8" ht="30" customHeight="1" x14ac:dyDescent="0.25">
      <c r="A40" s="76" t="s">
        <v>29</v>
      </c>
      <c r="B40" s="76"/>
      <c r="C40" s="23" t="s">
        <v>80</v>
      </c>
      <c r="D40" s="32" t="s">
        <v>37</v>
      </c>
      <c r="E40" s="26" t="s">
        <v>79</v>
      </c>
      <c r="F40" s="33">
        <v>0</v>
      </c>
      <c r="G40" s="34">
        <v>10871</v>
      </c>
      <c r="H40" s="64"/>
    </row>
    <row r="41" spans="1:8" ht="30" customHeight="1" x14ac:dyDescent="0.25">
      <c r="A41" s="76" t="s">
        <v>29</v>
      </c>
      <c r="B41" s="76"/>
      <c r="C41" s="23" t="s">
        <v>80</v>
      </c>
      <c r="D41" s="32" t="s">
        <v>37</v>
      </c>
      <c r="E41" s="26" t="s">
        <v>79</v>
      </c>
      <c r="F41" s="33">
        <v>0</v>
      </c>
      <c r="G41" s="34">
        <v>10985</v>
      </c>
      <c r="H41" s="64"/>
    </row>
    <row r="42" spans="1:8" ht="30" customHeight="1" x14ac:dyDescent="0.25">
      <c r="A42" s="76" t="s">
        <v>29</v>
      </c>
      <c r="B42" s="76"/>
      <c r="C42" s="23" t="s">
        <v>80</v>
      </c>
      <c r="D42" s="32" t="s">
        <v>37</v>
      </c>
      <c r="E42" s="26" t="s">
        <v>79</v>
      </c>
      <c r="F42" s="33">
        <v>0</v>
      </c>
      <c r="G42" s="34">
        <v>11226</v>
      </c>
      <c r="H42" s="64"/>
    </row>
    <row r="43" spans="1:8" ht="30" customHeight="1" x14ac:dyDescent="0.25">
      <c r="A43" s="76" t="s">
        <v>29</v>
      </c>
      <c r="B43" s="76"/>
      <c r="C43" s="23" t="s">
        <v>80</v>
      </c>
      <c r="D43" s="32" t="s">
        <v>37</v>
      </c>
      <c r="E43" s="26" t="s">
        <v>79</v>
      </c>
      <c r="F43" s="33">
        <v>0</v>
      </c>
      <c r="G43" s="34">
        <v>13532</v>
      </c>
      <c r="H43" s="64"/>
    </row>
    <row r="44" spans="1:8" ht="30" customHeight="1" x14ac:dyDescent="0.25">
      <c r="A44" s="76" t="s">
        <v>29</v>
      </c>
      <c r="B44" s="76"/>
      <c r="C44" s="23" t="s">
        <v>80</v>
      </c>
      <c r="D44" s="32" t="s">
        <v>37</v>
      </c>
      <c r="E44" s="26" t="s">
        <v>79</v>
      </c>
      <c r="F44" s="33">
        <v>0</v>
      </c>
      <c r="G44" s="34">
        <v>13882</v>
      </c>
      <c r="H44" s="64"/>
    </row>
    <row r="45" spans="1:8" ht="30" customHeight="1" x14ac:dyDescent="0.25">
      <c r="A45" s="76" t="s">
        <v>29</v>
      </c>
      <c r="B45" s="76"/>
      <c r="C45" s="23" t="s">
        <v>80</v>
      </c>
      <c r="D45" s="32" t="s">
        <v>37</v>
      </c>
      <c r="E45" s="26" t="s">
        <v>79</v>
      </c>
      <c r="F45" s="33">
        <v>0</v>
      </c>
      <c r="G45" s="34">
        <v>14179</v>
      </c>
      <c r="H45" s="64"/>
    </row>
    <row r="46" spans="1:8" ht="30" customHeight="1" x14ac:dyDescent="0.25">
      <c r="A46" s="76" t="s">
        <v>29</v>
      </c>
      <c r="B46" s="76"/>
      <c r="C46" s="23" t="s">
        <v>80</v>
      </c>
      <c r="D46" s="32" t="s">
        <v>37</v>
      </c>
      <c r="E46" s="26" t="s">
        <v>79</v>
      </c>
      <c r="F46" s="33">
        <v>0</v>
      </c>
      <c r="G46" s="34">
        <v>14195</v>
      </c>
      <c r="H46" s="64"/>
    </row>
    <row r="47" spans="1:8" ht="30" customHeight="1" thickBot="1" x14ac:dyDescent="0.3">
      <c r="A47" s="76" t="s">
        <v>29</v>
      </c>
      <c r="B47" s="76"/>
      <c r="C47" s="23" t="s">
        <v>80</v>
      </c>
      <c r="D47" s="35" t="s">
        <v>37</v>
      </c>
      <c r="E47" s="28" t="s">
        <v>79</v>
      </c>
      <c r="F47" s="36">
        <v>0</v>
      </c>
      <c r="G47" s="37">
        <v>14885</v>
      </c>
      <c r="H47" s="64"/>
    </row>
    <row r="48" spans="1:8" ht="30" customHeight="1" x14ac:dyDescent="0.25">
      <c r="A48" s="76" t="s">
        <v>29</v>
      </c>
      <c r="B48" s="76"/>
      <c r="C48" s="23" t="s">
        <v>80</v>
      </c>
      <c r="D48" s="29" t="s">
        <v>37</v>
      </c>
      <c r="E48" s="27" t="s">
        <v>79</v>
      </c>
      <c r="F48" s="30">
        <v>0</v>
      </c>
      <c r="G48" s="31">
        <v>14903</v>
      </c>
      <c r="H48" s="64"/>
    </row>
    <row r="49" spans="1:8" ht="30" customHeight="1" x14ac:dyDescent="0.25">
      <c r="A49" s="76" t="s">
        <v>29</v>
      </c>
      <c r="B49" s="76"/>
      <c r="C49" s="23" t="s">
        <v>80</v>
      </c>
      <c r="D49" s="32" t="s">
        <v>37</v>
      </c>
      <c r="E49" s="26" t="s">
        <v>79</v>
      </c>
      <c r="F49" s="33">
        <v>0</v>
      </c>
      <c r="G49" s="34">
        <v>15077</v>
      </c>
      <c r="H49" s="64"/>
    </row>
    <row r="50" spans="1:8" ht="30" customHeight="1" x14ac:dyDescent="0.25">
      <c r="A50" s="76" t="s">
        <v>29</v>
      </c>
      <c r="B50" s="76"/>
      <c r="C50" s="23" t="s">
        <v>80</v>
      </c>
      <c r="D50" s="32" t="s">
        <v>37</v>
      </c>
      <c r="E50" s="26" t="s">
        <v>79</v>
      </c>
      <c r="F50" s="33">
        <v>0</v>
      </c>
      <c r="G50" s="34">
        <v>15103</v>
      </c>
      <c r="H50" s="64"/>
    </row>
    <row r="51" spans="1:8" ht="30" customHeight="1" x14ac:dyDescent="0.25">
      <c r="A51" s="76" t="s">
        <v>29</v>
      </c>
      <c r="B51" s="76"/>
      <c r="C51" s="23" t="s">
        <v>80</v>
      </c>
      <c r="D51" s="32" t="s">
        <v>37</v>
      </c>
      <c r="E51" s="26" t="s">
        <v>79</v>
      </c>
      <c r="F51" s="33">
        <v>0</v>
      </c>
      <c r="G51" s="34">
        <v>15194</v>
      </c>
      <c r="H51" s="64"/>
    </row>
    <row r="52" spans="1:8" ht="30" customHeight="1" x14ac:dyDescent="0.25">
      <c r="A52" s="76" t="s">
        <v>29</v>
      </c>
      <c r="B52" s="76"/>
      <c r="C52" s="23" t="s">
        <v>80</v>
      </c>
      <c r="D52" s="32" t="s">
        <v>37</v>
      </c>
      <c r="E52" s="26" t="s">
        <v>79</v>
      </c>
      <c r="F52" s="33">
        <v>0</v>
      </c>
      <c r="G52" s="34">
        <v>16776</v>
      </c>
      <c r="H52" s="64"/>
    </row>
    <row r="53" spans="1:8" ht="30" customHeight="1" x14ac:dyDescent="0.25">
      <c r="A53" s="76" t="s">
        <v>29</v>
      </c>
      <c r="B53" s="76"/>
      <c r="C53" s="23" t="s">
        <v>80</v>
      </c>
      <c r="D53" s="32" t="s">
        <v>37</v>
      </c>
      <c r="E53" s="26" t="s">
        <v>79</v>
      </c>
      <c r="F53" s="33">
        <v>0</v>
      </c>
      <c r="G53" s="34">
        <v>16788</v>
      </c>
      <c r="H53" s="64"/>
    </row>
    <row r="54" spans="1:8" ht="30" customHeight="1" x14ac:dyDescent="0.25">
      <c r="A54" s="76" t="s">
        <v>29</v>
      </c>
      <c r="B54" s="76"/>
      <c r="C54" s="23" t="s">
        <v>80</v>
      </c>
      <c r="D54" s="32" t="s">
        <v>37</v>
      </c>
      <c r="E54" s="26" t="s">
        <v>79</v>
      </c>
      <c r="F54" s="33">
        <v>0</v>
      </c>
      <c r="G54" s="34">
        <v>17040</v>
      </c>
      <c r="H54" s="64"/>
    </row>
    <row r="55" spans="1:8" ht="30" customHeight="1" x14ac:dyDescent="0.25">
      <c r="A55" s="76" t="s">
        <v>29</v>
      </c>
      <c r="B55" s="76"/>
      <c r="C55" s="23" t="s">
        <v>80</v>
      </c>
      <c r="D55" s="32" t="s">
        <v>37</v>
      </c>
      <c r="E55" s="26" t="s">
        <v>79</v>
      </c>
      <c r="F55" s="33">
        <v>0</v>
      </c>
      <c r="G55" s="34">
        <v>18228</v>
      </c>
      <c r="H55" s="64"/>
    </row>
    <row r="56" spans="1:8" ht="30" customHeight="1" x14ac:dyDescent="0.25">
      <c r="A56" s="76" t="s">
        <v>29</v>
      </c>
      <c r="B56" s="76"/>
      <c r="C56" s="23" t="s">
        <v>80</v>
      </c>
      <c r="D56" s="32" t="s">
        <v>37</v>
      </c>
      <c r="E56" s="26" t="s">
        <v>79</v>
      </c>
      <c r="F56" s="33">
        <v>0</v>
      </c>
      <c r="G56" s="34">
        <v>18489</v>
      </c>
      <c r="H56" s="64"/>
    </row>
    <row r="57" spans="1:8" ht="30" customHeight="1" x14ac:dyDescent="0.25">
      <c r="A57" s="76" t="s">
        <v>29</v>
      </c>
      <c r="B57" s="76"/>
      <c r="C57" s="23" t="s">
        <v>80</v>
      </c>
      <c r="D57" s="32" t="s">
        <v>37</v>
      </c>
      <c r="E57" s="26" t="s">
        <v>79</v>
      </c>
      <c r="F57" s="33">
        <v>0</v>
      </c>
      <c r="G57" s="34">
        <v>18946</v>
      </c>
      <c r="H57" s="64"/>
    </row>
    <row r="58" spans="1:8" ht="30" customHeight="1" x14ac:dyDescent="0.25">
      <c r="A58" s="76" t="s">
        <v>29</v>
      </c>
      <c r="B58" s="76"/>
      <c r="C58" s="23" t="s">
        <v>80</v>
      </c>
      <c r="D58" s="32" t="s">
        <v>37</v>
      </c>
      <c r="E58" s="26" t="s">
        <v>79</v>
      </c>
      <c r="F58" s="33">
        <v>0</v>
      </c>
      <c r="G58" s="34">
        <v>19130</v>
      </c>
      <c r="H58" s="64"/>
    </row>
    <row r="59" spans="1:8" ht="30" customHeight="1" x14ac:dyDescent="0.25">
      <c r="A59" s="76" t="s">
        <v>29</v>
      </c>
      <c r="B59" s="76"/>
      <c r="C59" s="23" t="s">
        <v>80</v>
      </c>
      <c r="D59" s="32" t="s">
        <v>37</v>
      </c>
      <c r="E59" s="26" t="s">
        <v>79</v>
      </c>
      <c r="F59" s="33">
        <v>0</v>
      </c>
      <c r="G59" s="34">
        <v>20042</v>
      </c>
      <c r="H59" s="64"/>
    </row>
    <row r="60" spans="1:8" ht="30" customHeight="1" x14ac:dyDescent="0.25">
      <c r="A60" s="76" t="s">
        <v>29</v>
      </c>
      <c r="B60" s="76"/>
      <c r="C60" s="23" t="s">
        <v>80</v>
      </c>
      <c r="D60" s="32" t="s">
        <v>37</v>
      </c>
      <c r="E60" s="26" t="s">
        <v>79</v>
      </c>
      <c r="F60" s="33">
        <v>0</v>
      </c>
      <c r="G60" s="34">
        <v>20075</v>
      </c>
      <c r="H60" s="64"/>
    </row>
    <row r="61" spans="1:8" ht="30" customHeight="1" x14ac:dyDescent="0.25">
      <c r="A61" s="76" t="s">
        <v>29</v>
      </c>
      <c r="B61" s="76"/>
      <c r="C61" s="23" t="s">
        <v>80</v>
      </c>
      <c r="D61" s="32" t="s">
        <v>37</v>
      </c>
      <c r="E61" s="26" t="s">
        <v>79</v>
      </c>
      <c r="F61" s="33">
        <v>0</v>
      </c>
      <c r="G61" s="34">
        <v>21232</v>
      </c>
      <c r="H61" s="64"/>
    </row>
    <row r="62" spans="1:8" ht="30" customHeight="1" x14ac:dyDescent="0.25">
      <c r="A62" s="76" t="s">
        <v>29</v>
      </c>
      <c r="B62" s="76"/>
      <c r="C62" s="23" t="s">
        <v>80</v>
      </c>
      <c r="D62" s="32" t="s">
        <v>37</v>
      </c>
      <c r="E62" s="26" t="s">
        <v>79</v>
      </c>
      <c r="F62" s="33">
        <v>0</v>
      </c>
      <c r="G62" s="34">
        <v>21349</v>
      </c>
      <c r="H62" s="64"/>
    </row>
    <row r="63" spans="1:8" ht="30" customHeight="1" x14ac:dyDescent="0.25">
      <c r="A63" s="76" t="s">
        <v>29</v>
      </c>
      <c r="B63" s="76"/>
      <c r="C63" s="23" t="s">
        <v>80</v>
      </c>
      <c r="D63" s="32" t="s">
        <v>37</v>
      </c>
      <c r="E63" s="26" t="s">
        <v>79</v>
      </c>
      <c r="F63" s="33">
        <v>0</v>
      </c>
      <c r="G63" s="34">
        <v>21361</v>
      </c>
      <c r="H63" s="64"/>
    </row>
    <row r="64" spans="1:8" ht="30" customHeight="1" x14ac:dyDescent="0.25">
      <c r="A64" s="76" t="s">
        <v>29</v>
      </c>
      <c r="B64" s="76"/>
      <c r="C64" s="23" t="s">
        <v>80</v>
      </c>
      <c r="D64" s="32" t="s">
        <v>37</v>
      </c>
      <c r="E64" s="26" t="s">
        <v>79</v>
      </c>
      <c r="F64" s="33">
        <v>0</v>
      </c>
      <c r="G64" s="34">
        <v>22000</v>
      </c>
      <c r="H64" s="64"/>
    </row>
    <row r="65" spans="1:8" ht="30" customHeight="1" x14ac:dyDescent="0.25">
      <c r="A65" s="76" t="s">
        <v>29</v>
      </c>
      <c r="B65" s="76"/>
      <c r="C65" s="23" t="s">
        <v>80</v>
      </c>
      <c r="D65" s="32" t="s">
        <v>37</v>
      </c>
      <c r="E65" s="26" t="s">
        <v>79</v>
      </c>
      <c r="F65" s="33">
        <v>0</v>
      </c>
      <c r="G65" s="34">
        <v>22014</v>
      </c>
      <c r="H65" s="64"/>
    </row>
    <row r="66" spans="1:8" ht="30" customHeight="1" x14ac:dyDescent="0.25">
      <c r="A66" s="76" t="s">
        <v>29</v>
      </c>
      <c r="B66" s="76"/>
      <c r="C66" s="23" t="s">
        <v>80</v>
      </c>
      <c r="D66" s="32" t="s">
        <v>37</v>
      </c>
      <c r="E66" s="26" t="s">
        <v>79</v>
      </c>
      <c r="F66" s="33">
        <v>0</v>
      </c>
      <c r="G66" s="34">
        <v>22615</v>
      </c>
      <c r="H66" s="64"/>
    </row>
    <row r="67" spans="1:8" ht="30" customHeight="1" x14ac:dyDescent="0.25">
      <c r="A67" s="76" t="s">
        <v>29</v>
      </c>
      <c r="B67" s="76"/>
      <c r="C67" s="23" t="s">
        <v>80</v>
      </c>
      <c r="D67" s="32" t="s">
        <v>37</v>
      </c>
      <c r="E67" s="26" t="s">
        <v>79</v>
      </c>
      <c r="F67" s="33">
        <v>0</v>
      </c>
      <c r="G67" s="34">
        <v>22950</v>
      </c>
      <c r="H67" s="64"/>
    </row>
    <row r="68" spans="1:8" ht="30" customHeight="1" x14ac:dyDescent="0.25">
      <c r="A68" s="76" t="s">
        <v>29</v>
      </c>
      <c r="B68" s="76"/>
      <c r="C68" s="23" t="s">
        <v>80</v>
      </c>
      <c r="D68" s="32" t="s">
        <v>37</v>
      </c>
      <c r="E68" s="26" t="s">
        <v>79</v>
      </c>
      <c r="F68" s="33">
        <v>0</v>
      </c>
      <c r="G68" s="34">
        <v>23834</v>
      </c>
      <c r="H68" s="64"/>
    </row>
    <row r="69" spans="1:8" ht="30" customHeight="1" x14ac:dyDescent="0.25">
      <c r="A69" s="76" t="s">
        <v>29</v>
      </c>
      <c r="B69" s="76"/>
      <c r="C69" s="23" t="s">
        <v>80</v>
      </c>
      <c r="D69" s="32" t="s">
        <v>37</v>
      </c>
      <c r="E69" s="26" t="s">
        <v>79</v>
      </c>
      <c r="F69" s="33">
        <v>0</v>
      </c>
      <c r="G69" s="34">
        <v>24537</v>
      </c>
      <c r="H69" s="64"/>
    </row>
    <row r="70" spans="1:8" ht="30" customHeight="1" x14ac:dyDescent="0.25">
      <c r="A70" s="76" t="s">
        <v>29</v>
      </c>
      <c r="B70" s="76"/>
      <c r="C70" s="23" t="s">
        <v>80</v>
      </c>
      <c r="D70" s="32" t="s">
        <v>37</v>
      </c>
      <c r="E70" s="26" t="s">
        <v>79</v>
      </c>
      <c r="F70" s="33">
        <v>0</v>
      </c>
      <c r="G70" s="34">
        <v>24882</v>
      </c>
      <c r="H70" s="64"/>
    </row>
    <row r="71" spans="1:8" ht="30" customHeight="1" x14ac:dyDescent="0.25">
      <c r="A71" s="76" t="s">
        <v>29</v>
      </c>
      <c r="B71" s="76"/>
      <c r="C71" s="23" t="s">
        <v>80</v>
      </c>
      <c r="D71" s="32" t="s">
        <v>37</v>
      </c>
      <c r="E71" s="26" t="s">
        <v>79</v>
      </c>
      <c r="F71" s="33">
        <v>0</v>
      </c>
      <c r="G71" s="34">
        <v>26012</v>
      </c>
      <c r="H71" s="64"/>
    </row>
    <row r="72" spans="1:8" ht="30" customHeight="1" x14ac:dyDescent="0.25">
      <c r="A72" s="76" t="s">
        <v>29</v>
      </c>
      <c r="B72" s="76"/>
      <c r="C72" s="23" t="s">
        <v>80</v>
      </c>
      <c r="D72" s="32" t="s">
        <v>37</v>
      </c>
      <c r="E72" s="26" t="s">
        <v>79</v>
      </c>
      <c r="F72" s="33">
        <v>0</v>
      </c>
      <c r="G72" s="34">
        <v>26339</v>
      </c>
      <c r="H72" s="64"/>
    </row>
    <row r="73" spans="1:8" ht="30" customHeight="1" x14ac:dyDescent="0.25">
      <c r="A73" s="76" t="s">
        <v>29</v>
      </c>
      <c r="B73" s="76"/>
      <c r="C73" s="23" t="s">
        <v>80</v>
      </c>
      <c r="D73" s="32" t="s">
        <v>37</v>
      </c>
      <c r="E73" s="26" t="s">
        <v>79</v>
      </c>
      <c r="F73" s="33">
        <v>0</v>
      </c>
      <c r="G73" s="34">
        <v>26490</v>
      </c>
      <c r="H73" s="64"/>
    </row>
    <row r="74" spans="1:8" ht="30" customHeight="1" x14ac:dyDescent="0.25">
      <c r="A74" s="76" t="s">
        <v>29</v>
      </c>
      <c r="B74" s="76"/>
      <c r="C74" s="23" t="s">
        <v>80</v>
      </c>
      <c r="D74" s="32" t="s">
        <v>37</v>
      </c>
      <c r="E74" s="26" t="s">
        <v>79</v>
      </c>
      <c r="F74" s="33">
        <v>0</v>
      </c>
      <c r="G74" s="34">
        <v>26617</v>
      </c>
      <c r="H74" s="64"/>
    </row>
    <row r="75" spans="1:8" ht="30" customHeight="1" x14ac:dyDescent="0.25">
      <c r="A75" s="76" t="s">
        <v>29</v>
      </c>
      <c r="B75" s="76"/>
      <c r="C75" s="23" t="s">
        <v>80</v>
      </c>
      <c r="D75" s="32" t="s">
        <v>37</v>
      </c>
      <c r="E75" s="26" t="s">
        <v>79</v>
      </c>
      <c r="F75" s="33">
        <v>0</v>
      </c>
      <c r="G75" s="34">
        <v>28612</v>
      </c>
      <c r="H75" s="64"/>
    </row>
    <row r="76" spans="1:8" ht="30" customHeight="1" x14ac:dyDescent="0.25">
      <c r="A76" s="76" t="s">
        <v>29</v>
      </c>
      <c r="B76" s="76"/>
      <c r="C76" s="23" t="s">
        <v>80</v>
      </c>
      <c r="D76" s="32" t="s">
        <v>37</v>
      </c>
      <c r="E76" s="26" t="s">
        <v>79</v>
      </c>
      <c r="F76" s="33">
        <v>0</v>
      </c>
      <c r="G76" s="34">
        <v>28877</v>
      </c>
      <c r="H76" s="64"/>
    </row>
    <row r="77" spans="1:8" ht="30" customHeight="1" x14ac:dyDescent="0.25">
      <c r="A77" s="76" t="s">
        <v>29</v>
      </c>
      <c r="B77" s="76"/>
      <c r="C77" s="23" t="s">
        <v>80</v>
      </c>
      <c r="D77" s="32" t="s">
        <v>37</v>
      </c>
      <c r="E77" s="26" t="s">
        <v>79</v>
      </c>
      <c r="F77" s="33">
        <v>0</v>
      </c>
      <c r="G77" s="34">
        <v>28970</v>
      </c>
      <c r="H77" s="64"/>
    </row>
    <row r="78" spans="1:8" ht="30" customHeight="1" x14ac:dyDescent="0.25">
      <c r="A78" s="76" t="s">
        <v>29</v>
      </c>
      <c r="B78" s="76"/>
      <c r="C78" s="23" t="s">
        <v>80</v>
      </c>
      <c r="D78" s="32" t="s">
        <v>37</v>
      </c>
      <c r="E78" s="26" t="s">
        <v>79</v>
      </c>
      <c r="F78" s="33">
        <v>0</v>
      </c>
      <c r="G78" s="34">
        <v>29039</v>
      </c>
      <c r="H78" s="64"/>
    </row>
    <row r="79" spans="1:8" ht="30" customHeight="1" x14ac:dyDescent="0.25">
      <c r="A79" s="76" t="s">
        <v>29</v>
      </c>
      <c r="B79" s="76"/>
      <c r="C79" s="23" t="s">
        <v>80</v>
      </c>
      <c r="D79" s="32" t="s">
        <v>37</v>
      </c>
      <c r="E79" s="26" t="s">
        <v>79</v>
      </c>
      <c r="F79" s="33">
        <v>0</v>
      </c>
      <c r="G79" s="34">
        <v>29063</v>
      </c>
      <c r="H79" s="64"/>
    </row>
    <row r="80" spans="1:8" ht="30" customHeight="1" x14ac:dyDescent="0.25">
      <c r="A80" s="76" t="s">
        <v>29</v>
      </c>
      <c r="B80" s="76"/>
      <c r="C80" s="23" t="s">
        <v>80</v>
      </c>
      <c r="D80" s="32" t="s">
        <v>37</v>
      </c>
      <c r="E80" s="26" t="s">
        <v>79</v>
      </c>
      <c r="F80" s="33">
        <v>0</v>
      </c>
      <c r="G80" s="34">
        <v>29267</v>
      </c>
      <c r="H80" s="64"/>
    </row>
    <row r="81" spans="1:8" ht="30" customHeight="1" x14ac:dyDescent="0.25">
      <c r="A81" s="76" t="s">
        <v>29</v>
      </c>
      <c r="B81" s="76"/>
      <c r="C81" s="23" t="s">
        <v>80</v>
      </c>
      <c r="D81" s="32" t="s">
        <v>37</v>
      </c>
      <c r="E81" s="26" t="s">
        <v>79</v>
      </c>
      <c r="F81" s="33">
        <v>0</v>
      </c>
      <c r="G81" s="34">
        <v>30605</v>
      </c>
      <c r="H81" s="64"/>
    </row>
    <row r="82" spans="1:8" ht="30" customHeight="1" x14ac:dyDescent="0.25">
      <c r="A82" s="76" t="s">
        <v>29</v>
      </c>
      <c r="B82" s="76"/>
      <c r="C82" s="23" t="s">
        <v>80</v>
      </c>
      <c r="D82" s="32" t="s">
        <v>37</v>
      </c>
      <c r="E82" s="26" t="s">
        <v>79</v>
      </c>
      <c r="F82" s="33">
        <v>0</v>
      </c>
      <c r="G82" s="34">
        <v>32041</v>
      </c>
      <c r="H82" s="64"/>
    </row>
    <row r="83" spans="1:8" ht="30" customHeight="1" x14ac:dyDescent="0.25">
      <c r="A83" s="76" t="s">
        <v>29</v>
      </c>
      <c r="B83" s="76"/>
      <c r="C83" s="23" t="s">
        <v>80</v>
      </c>
      <c r="D83" s="32" t="s">
        <v>37</v>
      </c>
      <c r="E83" s="26" t="s">
        <v>79</v>
      </c>
      <c r="F83" s="33">
        <v>0</v>
      </c>
      <c r="G83" s="34">
        <v>32212</v>
      </c>
      <c r="H83" s="64"/>
    </row>
    <row r="84" spans="1:8" ht="30" customHeight="1" x14ac:dyDescent="0.25">
      <c r="A84" s="76" t="s">
        <v>29</v>
      </c>
      <c r="B84" s="76"/>
      <c r="C84" s="23" t="s">
        <v>80</v>
      </c>
      <c r="D84" s="32" t="s">
        <v>37</v>
      </c>
      <c r="E84" s="26" t="s">
        <v>79</v>
      </c>
      <c r="F84" s="33">
        <v>0</v>
      </c>
      <c r="G84" s="34">
        <v>32598</v>
      </c>
      <c r="H84" s="64"/>
    </row>
    <row r="85" spans="1:8" ht="30" customHeight="1" x14ac:dyDescent="0.25">
      <c r="A85" s="76" t="s">
        <v>29</v>
      </c>
      <c r="B85" s="76"/>
      <c r="C85" s="23" t="s">
        <v>80</v>
      </c>
      <c r="D85" s="32" t="s">
        <v>37</v>
      </c>
      <c r="E85" s="26" t="s">
        <v>79</v>
      </c>
      <c r="F85" s="33">
        <v>0</v>
      </c>
      <c r="G85" s="34">
        <v>32750</v>
      </c>
      <c r="H85" s="64"/>
    </row>
    <row r="86" spans="1:8" ht="30" customHeight="1" thickBot="1" x14ac:dyDescent="0.3">
      <c r="A86" s="76" t="s">
        <v>29</v>
      </c>
      <c r="B86" s="76"/>
      <c r="C86" s="23" t="s">
        <v>80</v>
      </c>
      <c r="D86" s="35" t="s">
        <v>37</v>
      </c>
      <c r="E86" s="28" t="s">
        <v>79</v>
      </c>
      <c r="F86" s="36">
        <v>0</v>
      </c>
      <c r="G86" s="37">
        <v>32796</v>
      </c>
      <c r="H86" s="64"/>
    </row>
    <row r="87" spans="1:8" ht="30" customHeight="1" x14ac:dyDescent="0.25">
      <c r="A87" s="76" t="s">
        <v>29</v>
      </c>
      <c r="B87" s="76"/>
      <c r="C87" s="23" t="s">
        <v>80</v>
      </c>
      <c r="D87" s="29" t="s">
        <v>37</v>
      </c>
      <c r="E87" s="27" t="s">
        <v>79</v>
      </c>
      <c r="F87" s="30">
        <v>0</v>
      </c>
      <c r="G87" s="31">
        <v>33002</v>
      </c>
      <c r="H87" s="64"/>
    </row>
    <row r="88" spans="1:8" ht="30" customHeight="1" x14ac:dyDescent="0.25">
      <c r="A88" s="76" t="s">
        <v>29</v>
      </c>
      <c r="B88" s="76"/>
      <c r="C88" s="23" t="s">
        <v>80</v>
      </c>
      <c r="D88" s="32" t="s">
        <v>37</v>
      </c>
      <c r="E88" s="26" t="s">
        <v>79</v>
      </c>
      <c r="F88" s="33">
        <v>0</v>
      </c>
      <c r="G88" s="34">
        <v>33419</v>
      </c>
      <c r="H88" s="64"/>
    </row>
    <row r="89" spans="1:8" ht="30" customHeight="1" x14ac:dyDescent="0.25">
      <c r="A89" s="76" t="s">
        <v>29</v>
      </c>
      <c r="B89" s="76"/>
      <c r="C89" s="23" t="s">
        <v>80</v>
      </c>
      <c r="D89" s="32" t="s">
        <v>37</v>
      </c>
      <c r="E89" s="26" t="s">
        <v>79</v>
      </c>
      <c r="F89" s="33">
        <v>0</v>
      </c>
      <c r="G89" s="34">
        <v>33760</v>
      </c>
      <c r="H89" s="64"/>
    </row>
    <row r="90" spans="1:8" ht="30" customHeight="1" x14ac:dyDescent="0.25">
      <c r="A90" s="76" t="s">
        <v>29</v>
      </c>
      <c r="B90" s="76"/>
      <c r="C90" s="23" t="s">
        <v>80</v>
      </c>
      <c r="D90" s="32" t="s">
        <v>37</v>
      </c>
      <c r="E90" s="26" t="s">
        <v>79</v>
      </c>
      <c r="F90" s="33">
        <v>0</v>
      </c>
      <c r="G90" s="34">
        <v>33980</v>
      </c>
      <c r="H90" s="64"/>
    </row>
    <row r="91" spans="1:8" ht="30" customHeight="1" x14ac:dyDescent="0.25">
      <c r="A91" s="76" t="s">
        <v>29</v>
      </c>
      <c r="B91" s="76"/>
      <c r="C91" s="23" t="s">
        <v>80</v>
      </c>
      <c r="D91" s="32" t="s">
        <v>37</v>
      </c>
      <c r="E91" s="26" t="s">
        <v>79</v>
      </c>
      <c r="F91" s="33">
        <v>0</v>
      </c>
      <c r="G91" s="34">
        <v>34300</v>
      </c>
      <c r="H91" s="64"/>
    </row>
    <row r="92" spans="1:8" ht="30" customHeight="1" x14ac:dyDescent="0.25">
      <c r="A92" s="76" t="s">
        <v>29</v>
      </c>
      <c r="B92" s="76"/>
      <c r="C92" s="23" t="s">
        <v>80</v>
      </c>
      <c r="D92" s="32" t="s">
        <v>37</v>
      </c>
      <c r="E92" s="26" t="s">
        <v>79</v>
      </c>
      <c r="F92" s="33">
        <v>0</v>
      </c>
      <c r="G92" s="34">
        <v>34502</v>
      </c>
      <c r="H92" s="64"/>
    </row>
    <row r="93" spans="1:8" ht="30" customHeight="1" x14ac:dyDescent="0.25">
      <c r="A93" s="76" t="s">
        <v>29</v>
      </c>
      <c r="B93" s="76"/>
      <c r="C93" s="23" t="s">
        <v>80</v>
      </c>
      <c r="D93" s="32" t="s">
        <v>37</v>
      </c>
      <c r="E93" s="26" t="s">
        <v>79</v>
      </c>
      <c r="F93" s="33">
        <v>0</v>
      </c>
      <c r="G93" s="34">
        <v>34557</v>
      </c>
      <c r="H93" s="64"/>
    </row>
    <row r="94" spans="1:8" ht="30" customHeight="1" x14ac:dyDescent="0.25">
      <c r="A94" s="76" t="s">
        <v>29</v>
      </c>
      <c r="B94" s="76"/>
      <c r="C94" s="23" t="s">
        <v>80</v>
      </c>
      <c r="D94" s="32" t="s">
        <v>37</v>
      </c>
      <c r="E94" s="26" t="s">
        <v>79</v>
      </c>
      <c r="F94" s="33">
        <v>0</v>
      </c>
      <c r="G94" s="34">
        <v>34961</v>
      </c>
      <c r="H94" s="64"/>
    </row>
    <row r="95" spans="1:8" ht="30" customHeight="1" x14ac:dyDescent="0.25">
      <c r="A95" s="76" t="s">
        <v>29</v>
      </c>
      <c r="B95" s="76"/>
      <c r="C95" s="23" t="s">
        <v>80</v>
      </c>
      <c r="D95" s="32" t="s">
        <v>37</v>
      </c>
      <c r="E95" s="26" t="s">
        <v>79</v>
      </c>
      <c r="F95" s="33">
        <v>0</v>
      </c>
      <c r="G95" s="34">
        <v>35287</v>
      </c>
      <c r="H95" s="64"/>
    </row>
    <row r="96" spans="1:8" ht="30" customHeight="1" x14ac:dyDescent="0.25">
      <c r="A96" s="76" t="s">
        <v>29</v>
      </c>
      <c r="B96" s="76"/>
      <c r="C96" s="23" t="s">
        <v>80</v>
      </c>
      <c r="D96" s="32" t="s">
        <v>37</v>
      </c>
      <c r="E96" s="26" t="s">
        <v>79</v>
      </c>
      <c r="F96" s="33">
        <v>0</v>
      </c>
      <c r="G96" s="34">
        <v>35755</v>
      </c>
      <c r="H96" s="64"/>
    </row>
    <row r="97" spans="1:8" ht="30" customHeight="1" x14ac:dyDescent="0.25">
      <c r="A97" s="76" t="s">
        <v>29</v>
      </c>
      <c r="B97" s="76"/>
      <c r="C97" s="23" t="s">
        <v>80</v>
      </c>
      <c r="D97" s="32" t="s">
        <v>37</v>
      </c>
      <c r="E97" s="26" t="s">
        <v>79</v>
      </c>
      <c r="F97" s="33">
        <v>0</v>
      </c>
      <c r="G97" s="34">
        <v>35903</v>
      </c>
      <c r="H97" s="64"/>
    </row>
    <row r="98" spans="1:8" ht="30" customHeight="1" x14ac:dyDescent="0.25">
      <c r="A98" s="76" t="s">
        <v>29</v>
      </c>
      <c r="B98" s="76"/>
      <c r="C98" s="23" t="s">
        <v>80</v>
      </c>
      <c r="D98" s="32" t="s">
        <v>37</v>
      </c>
      <c r="E98" s="26" t="s">
        <v>79</v>
      </c>
      <c r="F98" s="33">
        <v>0</v>
      </c>
      <c r="G98" s="34">
        <v>36508</v>
      </c>
      <c r="H98" s="64"/>
    </row>
    <row r="99" spans="1:8" ht="30" customHeight="1" x14ac:dyDescent="0.25">
      <c r="A99" s="76" t="s">
        <v>29</v>
      </c>
      <c r="B99" s="76"/>
      <c r="C99" s="23" t="s">
        <v>80</v>
      </c>
      <c r="D99" s="32" t="s">
        <v>37</v>
      </c>
      <c r="E99" s="26" t="s">
        <v>79</v>
      </c>
      <c r="F99" s="33">
        <v>0</v>
      </c>
      <c r="G99" s="34">
        <v>37370</v>
      </c>
      <c r="H99" s="64"/>
    </row>
    <row r="100" spans="1:8" ht="30" customHeight="1" x14ac:dyDescent="0.25">
      <c r="A100" s="76" t="s">
        <v>29</v>
      </c>
      <c r="B100" s="76"/>
      <c r="C100" s="23" t="s">
        <v>80</v>
      </c>
      <c r="D100" s="32" t="s">
        <v>37</v>
      </c>
      <c r="E100" s="26" t="s">
        <v>79</v>
      </c>
      <c r="F100" s="33">
        <v>0</v>
      </c>
      <c r="G100" s="34">
        <v>37427</v>
      </c>
      <c r="H100" s="64"/>
    </row>
    <row r="101" spans="1:8" ht="30" customHeight="1" x14ac:dyDescent="0.25">
      <c r="A101" s="76" t="s">
        <v>29</v>
      </c>
      <c r="B101" s="76"/>
      <c r="C101" s="23" t="s">
        <v>80</v>
      </c>
      <c r="D101" s="32" t="s">
        <v>37</v>
      </c>
      <c r="E101" s="26" t="s">
        <v>79</v>
      </c>
      <c r="F101" s="33">
        <v>0</v>
      </c>
      <c r="G101" s="34">
        <v>37560</v>
      </c>
      <c r="H101" s="64"/>
    </row>
    <row r="102" spans="1:8" ht="30" customHeight="1" x14ac:dyDescent="0.25">
      <c r="A102" s="76" t="s">
        <v>29</v>
      </c>
      <c r="B102" s="76"/>
      <c r="C102" s="23" t="s">
        <v>80</v>
      </c>
      <c r="D102" s="32" t="s">
        <v>37</v>
      </c>
      <c r="E102" s="26" t="s">
        <v>79</v>
      </c>
      <c r="F102" s="33">
        <v>0</v>
      </c>
      <c r="G102" s="34">
        <v>38228</v>
      </c>
      <c r="H102" s="64"/>
    </row>
    <row r="103" spans="1:8" ht="30" customHeight="1" x14ac:dyDescent="0.25">
      <c r="A103" s="76" t="s">
        <v>29</v>
      </c>
      <c r="B103" s="76"/>
      <c r="C103" s="23" t="s">
        <v>80</v>
      </c>
      <c r="D103" s="32" t="s">
        <v>37</v>
      </c>
      <c r="E103" s="26" t="s">
        <v>79</v>
      </c>
      <c r="F103" s="33">
        <v>0</v>
      </c>
      <c r="G103" s="34">
        <v>38930</v>
      </c>
      <c r="H103" s="64"/>
    </row>
    <row r="104" spans="1:8" ht="30" customHeight="1" x14ac:dyDescent="0.25">
      <c r="A104" s="76" t="s">
        <v>29</v>
      </c>
      <c r="B104" s="76"/>
      <c r="C104" s="23" t="s">
        <v>80</v>
      </c>
      <c r="D104" s="32" t="s">
        <v>37</v>
      </c>
      <c r="E104" s="26" t="s">
        <v>79</v>
      </c>
      <c r="F104" s="33">
        <v>0</v>
      </c>
      <c r="G104" s="34">
        <v>42144</v>
      </c>
      <c r="H104" s="64"/>
    </row>
    <row r="105" spans="1:8" ht="30" customHeight="1" x14ac:dyDescent="0.25">
      <c r="A105" s="76" t="s">
        <v>29</v>
      </c>
      <c r="B105" s="76"/>
      <c r="C105" s="23" t="s">
        <v>80</v>
      </c>
      <c r="D105" s="32" t="s">
        <v>37</v>
      </c>
      <c r="E105" s="26" t="s">
        <v>79</v>
      </c>
      <c r="F105" s="33">
        <v>0</v>
      </c>
      <c r="G105" s="34">
        <v>42807</v>
      </c>
      <c r="H105" s="64"/>
    </row>
    <row r="106" spans="1:8" ht="30" customHeight="1" x14ac:dyDescent="0.25">
      <c r="A106" s="76" t="s">
        <v>29</v>
      </c>
      <c r="B106" s="76"/>
      <c r="C106" s="23" t="s">
        <v>80</v>
      </c>
      <c r="D106" s="32" t="s">
        <v>37</v>
      </c>
      <c r="E106" s="26" t="s">
        <v>79</v>
      </c>
      <c r="F106" s="33">
        <v>0</v>
      </c>
      <c r="G106" s="34">
        <v>43400</v>
      </c>
      <c r="H106" s="64"/>
    </row>
    <row r="107" spans="1:8" ht="30" customHeight="1" x14ac:dyDescent="0.25">
      <c r="A107" s="76" t="s">
        <v>29</v>
      </c>
      <c r="B107" s="76"/>
      <c r="C107" s="23" t="s">
        <v>80</v>
      </c>
      <c r="D107" s="32" t="s">
        <v>37</v>
      </c>
      <c r="E107" s="26" t="s">
        <v>79</v>
      </c>
      <c r="F107" s="33">
        <v>0</v>
      </c>
      <c r="G107" s="34">
        <v>44167</v>
      </c>
      <c r="H107" s="64"/>
    </row>
    <row r="108" spans="1:8" ht="30" customHeight="1" x14ac:dyDescent="0.25">
      <c r="A108" s="76" t="s">
        <v>29</v>
      </c>
      <c r="B108" s="76"/>
      <c r="C108" s="23" t="s">
        <v>80</v>
      </c>
      <c r="D108" s="32" t="s">
        <v>37</v>
      </c>
      <c r="E108" s="26" t="s">
        <v>79</v>
      </c>
      <c r="F108" s="33">
        <v>0</v>
      </c>
      <c r="G108" s="34">
        <v>44890</v>
      </c>
      <c r="H108" s="64"/>
    </row>
    <row r="109" spans="1:8" ht="30" customHeight="1" x14ac:dyDescent="0.25">
      <c r="A109" s="76" t="s">
        <v>29</v>
      </c>
      <c r="B109" s="76"/>
      <c r="C109" s="23" t="s">
        <v>80</v>
      </c>
      <c r="D109" s="32" t="s">
        <v>37</v>
      </c>
      <c r="E109" s="26" t="s">
        <v>79</v>
      </c>
      <c r="F109" s="33">
        <v>0</v>
      </c>
      <c r="G109" s="34">
        <v>45581</v>
      </c>
      <c r="H109" s="64"/>
    </row>
    <row r="110" spans="1:8" ht="30" customHeight="1" x14ac:dyDescent="0.25">
      <c r="A110" s="76" t="s">
        <v>29</v>
      </c>
      <c r="B110" s="76"/>
      <c r="C110" s="23" t="s">
        <v>80</v>
      </c>
      <c r="D110" s="32" t="s">
        <v>37</v>
      </c>
      <c r="E110" s="26" t="s">
        <v>79</v>
      </c>
      <c r="F110" s="33">
        <v>0</v>
      </c>
      <c r="G110" s="34">
        <v>46614</v>
      </c>
      <c r="H110" s="64"/>
    </row>
    <row r="111" spans="1:8" ht="30" customHeight="1" x14ac:dyDescent="0.25">
      <c r="A111" s="76" t="s">
        <v>29</v>
      </c>
      <c r="B111" s="76"/>
      <c r="C111" s="23" t="s">
        <v>80</v>
      </c>
      <c r="D111" s="32" t="s">
        <v>37</v>
      </c>
      <c r="E111" s="26" t="s">
        <v>79</v>
      </c>
      <c r="F111" s="33">
        <v>0</v>
      </c>
      <c r="G111" s="34">
        <v>48522</v>
      </c>
      <c r="H111" s="64"/>
    </row>
    <row r="112" spans="1:8" ht="30" customHeight="1" x14ac:dyDescent="0.25">
      <c r="A112" s="76" t="s">
        <v>29</v>
      </c>
      <c r="B112" s="76"/>
      <c r="C112" s="23" t="s">
        <v>80</v>
      </c>
      <c r="D112" s="32" t="s">
        <v>37</v>
      </c>
      <c r="E112" s="26" t="s">
        <v>79</v>
      </c>
      <c r="F112" s="33">
        <v>0</v>
      </c>
      <c r="G112" s="34">
        <v>49739</v>
      </c>
      <c r="H112" s="64"/>
    </row>
    <row r="113" spans="1:8" ht="30" customHeight="1" x14ac:dyDescent="0.25">
      <c r="A113" s="76" t="s">
        <v>29</v>
      </c>
      <c r="B113" s="76"/>
      <c r="C113" s="23" t="s">
        <v>80</v>
      </c>
      <c r="D113" s="32" t="s">
        <v>37</v>
      </c>
      <c r="E113" s="26" t="s">
        <v>79</v>
      </c>
      <c r="F113" s="33">
        <v>0</v>
      </c>
      <c r="G113" s="34">
        <v>49766</v>
      </c>
      <c r="H113" s="64"/>
    </row>
    <row r="114" spans="1:8" ht="30" customHeight="1" x14ac:dyDescent="0.25">
      <c r="A114" s="76" t="s">
        <v>29</v>
      </c>
      <c r="B114" s="76"/>
      <c r="C114" s="23" t="s">
        <v>80</v>
      </c>
      <c r="D114" s="32" t="s">
        <v>37</v>
      </c>
      <c r="E114" s="26" t="s">
        <v>79</v>
      </c>
      <c r="F114" s="33">
        <v>0</v>
      </c>
      <c r="G114" s="34">
        <v>50030</v>
      </c>
      <c r="H114" s="64"/>
    </row>
    <row r="115" spans="1:8" ht="30" customHeight="1" x14ac:dyDescent="0.25">
      <c r="A115" s="76" t="s">
        <v>29</v>
      </c>
      <c r="B115" s="76"/>
      <c r="C115" s="23" t="s">
        <v>80</v>
      </c>
      <c r="D115" s="32" t="s">
        <v>37</v>
      </c>
      <c r="E115" s="26" t="s">
        <v>79</v>
      </c>
      <c r="F115" s="33">
        <v>0</v>
      </c>
      <c r="G115" s="34">
        <v>50063</v>
      </c>
      <c r="H115" s="64"/>
    </row>
    <row r="116" spans="1:8" ht="30" customHeight="1" x14ac:dyDescent="0.25">
      <c r="A116" s="76" t="s">
        <v>29</v>
      </c>
      <c r="B116" s="76"/>
      <c r="C116" s="23" t="s">
        <v>80</v>
      </c>
      <c r="D116" s="32" t="s">
        <v>37</v>
      </c>
      <c r="E116" s="26" t="s">
        <v>79</v>
      </c>
      <c r="F116" s="33">
        <v>0</v>
      </c>
      <c r="G116" s="34">
        <v>50213</v>
      </c>
      <c r="H116" s="64"/>
    </row>
    <row r="117" spans="1:8" ht="30" customHeight="1" x14ac:dyDescent="0.25">
      <c r="A117" s="76" t="s">
        <v>29</v>
      </c>
      <c r="B117" s="76"/>
      <c r="C117" s="23" t="s">
        <v>80</v>
      </c>
      <c r="D117" s="32" t="s">
        <v>37</v>
      </c>
      <c r="E117" s="26" t="s">
        <v>79</v>
      </c>
      <c r="F117" s="33">
        <v>0</v>
      </c>
      <c r="G117" s="34">
        <v>50256</v>
      </c>
      <c r="H117" s="64"/>
    </row>
    <row r="118" spans="1:8" ht="30" customHeight="1" x14ac:dyDescent="0.25">
      <c r="A118" s="76" t="s">
        <v>29</v>
      </c>
      <c r="B118" s="76"/>
      <c r="C118" s="23" t="s">
        <v>80</v>
      </c>
      <c r="D118" s="32" t="s">
        <v>37</v>
      </c>
      <c r="E118" s="26" t="s">
        <v>79</v>
      </c>
      <c r="F118" s="33">
        <v>0</v>
      </c>
      <c r="G118" s="34">
        <v>51902</v>
      </c>
      <c r="H118" s="64"/>
    </row>
    <row r="119" spans="1:8" ht="30" customHeight="1" x14ac:dyDescent="0.25">
      <c r="A119" s="76" t="s">
        <v>29</v>
      </c>
      <c r="B119" s="76"/>
      <c r="C119" s="23" t="s">
        <v>80</v>
      </c>
      <c r="D119" s="32" t="s">
        <v>37</v>
      </c>
      <c r="E119" s="26" t="s">
        <v>79</v>
      </c>
      <c r="F119" s="33">
        <v>0</v>
      </c>
      <c r="G119" s="34">
        <v>52041</v>
      </c>
      <c r="H119" s="64"/>
    </row>
    <row r="120" spans="1:8" ht="30" customHeight="1" x14ac:dyDescent="0.25">
      <c r="A120" s="76" t="s">
        <v>29</v>
      </c>
      <c r="B120" s="76"/>
      <c r="C120" s="23" t="s">
        <v>80</v>
      </c>
      <c r="D120" s="32" t="s">
        <v>37</v>
      </c>
      <c r="E120" s="26" t="s">
        <v>79</v>
      </c>
      <c r="F120" s="33">
        <v>0</v>
      </c>
      <c r="G120" s="34">
        <v>52259</v>
      </c>
      <c r="H120" s="64"/>
    </row>
    <row r="121" spans="1:8" ht="30" customHeight="1" x14ac:dyDescent="0.25">
      <c r="A121" s="76" t="s">
        <v>29</v>
      </c>
      <c r="B121" s="76"/>
      <c r="C121" s="23" t="s">
        <v>80</v>
      </c>
      <c r="D121" s="32" t="s">
        <v>37</v>
      </c>
      <c r="E121" s="26" t="s">
        <v>79</v>
      </c>
      <c r="F121" s="33">
        <v>0</v>
      </c>
      <c r="G121" s="34">
        <v>52411</v>
      </c>
      <c r="H121" s="64"/>
    </row>
    <row r="122" spans="1:8" ht="30" customHeight="1" x14ac:dyDescent="0.25">
      <c r="A122" s="76" t="s">
        <v>29</v>
      </c>
      <c r="B122" s="76"/>
      <c r="C122" s="23" t="s">
        <v>80</v>
      </c>
      <c r="D122" s="32" t="s">
        <v>37</v>
      </c>
      <c r="E122" s="26" t="s">
        <v>79</v>
      </c>
      <c r="F122" s="33">
        <v>0</v>
      </c>
      <c r="G122" s="34">
        <v>52829</v>
      </c>
      <c r="H122" s="64"/>
    </row>
    <row r="123" spans="1:8" ht="30" customHeight="1" x14ac:dyDescent="0.25">
      <c r="A123" s="76" t="s">
        <v>29</v>
      </c>
      <c r="B123" s="76"/>
      <c r="C123" s="23" t="s">
        <v>80</v>
      </c>
      <c r="D123" s="32" t="s">
        <v>37</v>
      </c>
      <c r="E123" s="26" t="s">
        <v>79</v>
      </c>
      <c r="F123" s="33">
        <v>0</v>
      </c>
      <c r="G123" s="34">
        <v>53585</v>
      </c>
      <c r="H123" s="64"/>
    </row>
    <row r="124" spans="1:8" ht="30" customHeight="1" thickBot="1" x14ac:dyDescent="0.3">
      <c r="A124" s="76" t="s">
        <v>29</v>
      </c>
      <c r="B124" s="76"/>
      <c r="C124" s="23" t="s">
        <v>80</v>
      </c>
      <c r="D124" s="35" t="s">
        <v>37</v>
      </c>
      <c r="E124" s="28" t="s">
        <v>79</v>
      </c>
      <c r="F124" s="36">
        <v>0</v>
      </c>
      <c r="G124" s="37">
        <v>53845</v>
      </c>
      <c r="H124" s="64"/>
    </row>
    <row r="125" spans="1:8" ht="30" customHeight="1" x14ac:dyDescent="0.25">
      <c r="A125" s="76" t="s">
        <v>29</v>
      </c>
      <c r="B125" s="76"/>
      <c r="C125" s="23" t="s">
        <v>80</v>
      </c>
      <c r="D125" s="41" t="s">
        <v>37</v>
      </c>
      <c r="E125" s="42" t="s">
        <v>79</v>
      </c>
      <c r="F125" s="43">
        <v>0</v>
      </c>
      <c r="G125" s="44">
        <v>55120</v>
      </c>
      <c r="H125" s="64"/>
    </row>
    <row r="126" spans="1:8" ht="30" customHeight="1" x14ac:dyDescent="0.25">
      <c r="A126" s="76" t="s">
        <v>29</v>
      </c>
      <c r="B126" s="76"/>
      <c r="C126" s="23" t="s">
        <v>80</v>
      </c>
      <c r="D126" s="32" t="s">
        <v>37</v>
      </c>
      <c r="E126" s="26" t="s">
        <v>79</v>
      </c>
      <c r="F126" s="33">
        <v>0</v>
      </c>
      <c r="G126" s="34">
        <v>59524</v>
      </c>
      <c r="H126" s="64"/>
    </row>
    <row r="127" spans="1:8" ht="30" customHeight="1" x14ac:dyDescent="0.25">
      <c r="A127" s="76" t="s">
        <v>29</v>
      </c>
      <c r="B127" s="76"/>
      <c r="C127" s="23" t="s">
        <v>80</v>
      </c>
      <c r="D127" s="32" t="s">
        <v>37</v>
      </c>
      <c r="E127" s="26" t="s">
        <v>79</v>
      </c>
      <c r="F127" s="33">
        <v>0</v>
      </c>
      <c r="G127" s="34">
        <v>61333</v>
      </c>
      <c r="H127" s="64"/>
    </row>
    <row r="128" spans="1:8" ht="30" customHeight="1" x14ac:dyDescent="0.25">
      <c r="A128" s="76" t="s">
        <v>29</v>
      </c>
      <c r="B128" s="76"/>
      <c r="C128" s="23" t="s">
        <v>80</v>
      </c>
      <c r="D128" s="32" t="s">
        <v>37</v>
      </c>
      <c r="E128" s="26" t="s">
        <v>79</v>
      </c>
      <c r="F128" s="33">
        <v>0</v>
      </c>
      <c r="G128" s="34">
        <v>61537</v>
      </c>
      <c r="H128" s="64"/>
    </row>
    <row r="129" spans="1:8" ht="30" customHeight="1" x14ac:dyDescent="0.25">
      <c r="A129" s="76" t="s">
        <v>29</v>
      </c>
      <c r="B129" s="76"/>
      <c r="C129" s="23" t="s">
        <v>80</v>
      </c>
      <c r="D129" s="32" t="s">
        <v>37</v>
      </c>
      <c r="E129" s="26" t="s">
        <v>79</v>
      </c>
      <c r="F129" s="33">
        <v>0</v>
      </c>
      <c r="G129" s="34">
        <v>64274</v>
      </c>
      <c r="H129" s="64"/>
    </row>
    <row r="130" spans="1:8" ht="30" customHeight="1" x14ac:dyDescent="0.25">
      <c r="A130" s="76" t="s">
        <v>29</v>
      </c>
      <c r="B130" s="76"/>
      <c r="C130" s="23" t="s">
        <v>80</v>
      </c>
      <c r="D130" s="32" t="s">
        <v>37</v>
      </c>
      <c r="E130" s="26" t="s">
        <v>79</v>
      </c>
      <c r="F130" s="33">
        <v>0</v>
      </c>
      <c r="G130" s="34">
        <v>66152</v>
      </c>
      <c r="H130" s="64"/>
    </row>
    <row r="131" spans="1:8" ht="30" customHeight="1" x14ac:dyDescent="0.25">
      <c r="A131" s="76" t="s">
        <v>29</v>
      </c>
      <c r="B131" s="76"/>
      <c r="C131" s="23" t="s">
        <v>80</v>
      </c>
      <c r="D131" s="32" t="s">
        <v>37</v>
      </c>
      <c r="E131" s="26" t="s">
        <v>79</v>
      </c>
      <c r="F131" s="33">
        <v>0</v>
      </c>
      <c r="G131" s="34">
        <v>68431</v>
      </c>
      <c r="H131" s="64"/>
    </row>
    <row r="132" spans="1:8" ht="30" customHeight="1" x14ac:dyDescent="0.25">
      <c r="A132" s="76" t="s">
        <v>29</v>
      </c>
      <c r="B132" s="76"/>
      <c r="C132" s="23" t="s">
        <v>80</v>
      </c>
      <c r="D132" s="32" t="s">
        <v>37</v>
      </c>
      <c r="E132" s="26" t="s">
        <v>79</v>
      </c>
      <c r="F132" s="33">
        <v>0</v>
      </c>
      <c r="G132" s="34">
        <v>70329</v>
      </c>
      <c r="H132" s="64"/>
    </row>
    <row r="133" spans="1:8" ht="30" customHeight="1" x14ac:dyDescent="0.25">
      <c r="A133" s="76" t="s">
        <v>29</v>
      </c>
      <c r="B133" s="76"/>
      <c r="C133" s="23" t="s">
        <v>80</v>
      </c>
      <c r="D133" s="32" t="s">
        <v>37</v>
      </c>
      <c r="E133" s="26" t="s">
        <v>79</v>
      </c>
      <c r="F133" s="33">
        <v>0</v>
      </c>
      <c r="G133" s="34">
        <v>72805</v>
      </c>
      <c r="H133" s="64"/>
    </row>
    <row r="134" spans="1:8" ht="30" customHeight="1" x14ac:dyDescent="0.25">
      <c r="A134" s="76" t="s">
        <v>29</v>
      </c>
      <c r="B134" s="76"/>
      <c r="C134" s="23" t="s">
        <v>80</v>
      </c>
      <c r="D134" s="32" t="s">
        <v>37</v>
      </c>
      <c r="E134" s="26" t="s">
        <v>79</v>
      </c>
      <c r="F134" s="33">
        <v>0</v>
      </c>
      <c r="G134" s="34">
        <v>76065</v>
      </c>
      <c r="H134" s="64"/>
    </row>
    <row r="135" spans="1:8" ht="30" customHeight="1" x14ac:dyDescent="0.25">
      <c r="A135" s="76" t="s">
        <v>29</v>
      </c>
      <c r="B135" s="76"/>
      <c r="C135" s="23" t="s">
        <v>80</v>
      </c>
      <c r="D135" s="32" t="s">
        <v>37</v>
      </c>
      <c r="E135" s="26" t="s">
        <v>79</v>
      </c>
      <c r="F135" s="33">
        <v>0</v>
      </c>
      <c r="G135" s="34">
        <v>76459</v>
      </c>
      <c r="H135" s="64"/>
    </row>
    <row r="136" spans="1:8" ht="30" customHeight="1" x14ac:dyDescent="0.25">
      <c r="A136" s="76" t="s">
        <v>29</v>
      </c>
      <c r="B136" s="76"/>
      <c r="C136" s="23" t="s">
        <v>80</v>
      </c>
      <c r="D136" s="32" t="s">
        <v>37</v>
      </c>
      <c r="E136" s="26" t="s">
        <v>79</v>
      </c>
      <c r="F136" s="33">
        <v>0</v>
      </c>
      <c r="G136" s="34">
        <v>79704</v>
      </c>
      <c r="H136" s="64"/>
    </row>
    <row r="137" spans="1:8" ht="30" customHeight="1" x14ac:dyDescent="0.25">
      <c r="A137" s="76" t="s">
        <v>29</v>
      </c>
      <c r="B137" s="76"/>
      <c r="C137" s="23" t="s">
        <v>80</v>
      </c>
      <c r="D137" s="32" t="s">
        <v>37</v>
      </c>
      <c r="E137" s="26" t="s">
        <v>79</v>
      </c>
      <c r="F137" s="33">
        <v>0</v>
      </c>
      <c r="G137" s="34">
        <v>79711</v>
      </c>
      <c r="H137" s="64"/>
    </row>
    <row r="138" spans="1:8" ht="30" customHeight="1" x14ac:dyDescent="0.25">
      <c r="A138" s="76" t="s">
        <v>29</v>
      </c>
      <c r="B138" s="76"/>
      <c r="C138" s="23" t="s">
        <v>80</v>
      </c>
      <c r="D138" s="32" t="s">
        <v>37</v>
      </c>
      <c r="E138" s="26" t="s">
        <v>79</v>
      </c>
      <c r="F138" s="33">
        <v>0</v>
      </c>
      <c r="G138" s="34">
        <v>79818</v>
      </c>
      <c r="H138" s="64"/>
    </row>
    <row r="139" spans="1:8" ht="30" customHeight="1" x14ac:dyDescent="0.25">
      <c r="A139" s="76" t="s">
        <v>29</v>
      </c>
      <c r="B139" s="76"/>
      <c r="C139" s="23" t="s">
        <v>80</v>
      </c>
      <c r="D139" s="32" t="s">
        <v>37</v>
      </c>
      <c r="E139" s="26" t="s">
        <v>79</v>
      </c>
      <c r="F139" s="33">
        <v>0</v>
      </c>
      <c r="G139" s="34">
        <v>93897</v>
      </c>
      <c r="H139" s="64"/>
    </row>
    <row r="140" spans="1:8" ht="30" customHeight="1" x14ac:dyDescent="0.25">
      <c r="A140" s="76" t="s">
        <v>29</v>
      </c>
      <c r="B140" s="76"/>
      <c r="C140" s="23" t="s">
        <v>80</v>
      </c>
      <c r="D140" s="32" t="s">
        <v>37</v>
      </c>
      <c r="E140" s="26" t="s">
        <v>79</v>
      </c>
      <c r="F140" s="33">
        <v>0</v>
      </c>
      <c r="G140" s="34">
        <v>98137</v>
      </c>
      <c r="H140" s="64"/>
    </row>
    <row r="141" spans="1:8" ht="30" customHeight="1" x14ac:dyDescent="0.25">
      <c r="A141" s="76" t="s">
        <v>29</v>
      </c>
      <c r="B141" s="76"/>
      <c r="C141" s="23" t="s">
        <v>80</v>
      </c>
      <c r="D141" s="32" t="s">
        <v>37</v>
      </c>
      <c r="E141" s="26" t="s">
        <v>79</v>
      </c>
      <c r="F141" s="33">
        <v>0</v>
      </c>
      <c r="G141" s="34">
        <v>100465</v>
      </c>
      <c r="H141" s="64"/>
    </row>
    <row r="142" spans="1:8" ht="30" customHeight="1" x14ac:dyDescent="0.25">
      <c r="A142" s="76" t="s">
        <v>29</v>
      </c>
      <c r="B142" s="76"/>
      <c r="C142" s="23" t="s">
        <v>80</v>
      </c>
      <c r="D142" s="32" t="s">
        <v>37</v>
      </c>
      <c r="E142" s="26" t="s">
        <v>79</v>
      </c>
      <c r="F142" s="33">
        <v>0</v>
      </c>
      <c r="G142" s="34">
        <v>100711</v>
      </c>
      <c r="H142" s="64"/>
    </row>
    <row r="143" spans="1:8" ht="30" customHeight="1" x14ac:dyDescent="0.25">
      <c r="A143" s="76" t="s">
        <v>29</v>
      </c>
      <c r="B143" s="76"/>
      <c r="C143" s="23" t="s">
        <v>80</v>
      </c>
      <c r="D143" s="32" t="s">
        <v>37</v>
      </c>
      <c r="E143" s="26" t="s">
        <v>79</v>
      </c>
      <c r="F143" s="33">
        <v>0</v>
      </c>
      <c r="G143" s="34">
        <v>101190</v>
      </c>
      <c r="H143" s="64"/>
    </row>
    <row r="144" spans="1:8" ht="30" customHeight="1" x14ac:dyDescent="0.25">
      <c r="A144" s="76" t="s">
        <v>29</v>
      </c>
      <c r="B144" s="76"/>
      <c r="C144" s="23" t="s">
        <v>80</v>
      </c>
      <c r="D144" s="32" t="s">
        <v>37</v>
      </c>
      <c r="E144" s="26" t="s">
        <v>79</v>
      </c>
      <c r="F144" s="33">
        <v>0</v>
      </c>
      <c r="G144" s="34">
        <v>106065</v>
      </c>
      <c r="H144" s="64"/>
    </row>
    <row r="145" spans="1:8" ht="30" customHeight="1" x14ac:dyDescent="0.25">
      <c r="A145" s="76" t="s">
        <v>29</v>
      </c>
      <c r="B145" s="76"/>
      <c r="C145" s="23" t="s">
        <v>80</v>
      </c>
      <c r="D145" s="32" t="s">
        <v>37</v>
      </c>
      <c r="E145" s="26" t="s">
        <v>79</v>
      </c>
      <c r="F145" s="33">
        <v>0</v>
      </c>
      <c r="G145" s="34">
        <v>106125</v>
      </c>
      <c r="H145" s="64"/>
    </row>
    <row r="146" spans="1:8" ht="30" customHeight="1" x14ac:dyDescent="0.25">
      <c r="A146" s="76" t="s">
        <v>29</v>
      </c>
      <c r="B146" s="76"/>
      <c r="C146" s="23" t="s">
        <v>80</v>
      </c>
      <c r="D146" s="32" t="s">
        <v>37</v>
      </c>
      <c r="E146" s="26" t="s">
        <v>79</v>
      </c>
      <c r="F146" s="33">
        <v>0</v>
      </c>
      <c r="G146" s="34">
        <v>107688</v>
      </c>
      <c r="H146" s="64"/>
    </row>
    <row r="147" spans="1:8" ht="30" customHeight="1" x14ac:dyDescent="0.25">
      <c r="A147" s="76" t="s">
        <v>29</v>
      </c>
      <c r="B147" s="76"/>
      <c r="C147" s="23" t="s">
        <v>80</v>
      </c>
      <c r="D147" s="32" t="s">
        <v>37</v>
      </c>
      <c r="E147" s="26" t="s">
        <v>79</v>
      </c>
      <c r="F147" s="33">
        <v>0</v>
      </c>
      <c r="G147" s="34">
        <v>113221</v>
      </c>
      <c r="H147" s="64"/>
    </row>
    <row r="148" spans="1:8" ht="30" customHeight="1" x14ac:dyDescent="0.25">
      <c r="A148" s="76" t="s">
        <v>29</v>
      </c>
      <c r="B148" s="76"/>
      <c r="C148" s="23" t="s">
        <v>80</v>
      </c>
      <c r="D148" s="32" t="s">
        <v>37</v>
      </c>
      <c r="E148" s="26" t="s">
        <v>79</v>
      </c>
      <c r="F148" s="33">
        <v>0</v>
      </c>
      <c r="G148" s="34">
        <v>113415</v>
      </c>
      <c r="H148" s="64"/>
    </row>
    <row r="149" spans="1:8" ht="30" customHeight="1" x14ac:dyDescent="0.25">
      <c r="A149" s="76" t="s">
        <v>29</v>
      </c>
      <c r="B149" s="76"/>
      <c r="C149" s="23" t="s">
        <v>80</v>
      </c>
      <c r="D149" s="32" t="s">
        <v>37</v>
      </c>
      <c r="E149" s="26" t="s">
        <v>79</v>
      </c>
      <c r="F149" s="33">
        <v>0</v>
      </c>
      <c r="G149" s="34">
        <v>119739</v>
      </c>
      <c r="H149" s="64"/>
    </row>
    <row r="150" spans="1:8" ht="30" customHeight="1" x14ac:dyDescent="0.25">
      <c r="A150" s="76" t="s">
        <v>29</v>
      </c>
      <c r="B150" s="76"/>
      <c r="C150" s="23" t="s">
        <v>80</v>
      </c>
      <c r="D150" s="32" t="s">
        <v>37</v>
      </c>
      <c r="E150" s="26" t="s">
        <v>79</v>
      </c>
      <c r="F150" s="33">
        <v>0</v>
      </c>
      <c r="G150" s="34">
        <v>124279</v>
      </c>
      <c r="H150" s="64"/>
    </row>
    <row r="151" spans="1:8" ht="30" customHeight="1" x14ac:dyDescent="0.25">
      <c r="A151" s="76" t="s">
        <v>29</v>
      </c>
      <c r="B151" s="76"/>
      <c r="C151" s="23" t="s">
        <v>80</v>
      </c>
      <c r="D151" s="32" t="s">
        <v>37</v>
      </c>
      <c r="E151" s="26" t="s">
        <v>79</v>
      </c>
      <c r="F151" s="33">
        <v>0</v>
      </c>
      <c r="G151" s="34">
        <v>126634</v>
      </c>
      <c r="H151" s="64"/>
    </row>
    <row r="152" spans="1:8" ht="30" customHeight="1" x14ac:dyDescent="0.25">
      <c r="A152" s="76" t="s">
        <v>29</v>
      </c>
      <c r="B152" s="76"/>
      <c r="C152" s="23" t="s">
        <v>80</v>
      </c>
      <c r="D152" s="32" t="s">
        <v>37</v>
      </c>
      <c r="E152" s="26" t="s">
        <v>79</v>
      </c>
      <c r="F152" s="33">
        <v>0</v>
      </c>
      <c r="G152" s="34">
        <v>143450</v>
      </c>
      <c r="H152" s="64"/>
    </row>
    <row r="153" spans="1:8" ht="30" customHeight="1" x14ac:dyDescent="0.25">
      <c r="A153" s="76" t="s">
        <v>29</v>
      </c>
      <c r="B153" s="76"/>
      <c r="C153" s="23" t="s">
        <v>80</v>
      </c>
      <c r="D153" s="32" t="s">
        <v>37</v>
      </c>
      <c r="E153" s="26" t="s">
        <v>79</v>
      </c>
      <c r="F153" s="33">
        <v>0</v>
      </c>
      <c r="G153" s="34">
        <v>151090</v>
      </c>
      <c r="H153" s="64"/>
    </row>
    <row r="154" spans="1:8" ht="30" customHeight="1" x14ac:dyDescent="0.25">
      <c r="A154" s="76" t="s">
        <v>29</v>
      </c>
      <c r="B154" s="76"/>
      <c r="C154" s="23" t="s">
        <v>80</v>
      </c>
      <c r="D154" s="32" t="s">
        <v>37</v>
      </c>
      <c r="E154" s="26" t="s">
        <v>79</v>
      </c>
      <c r="F154" s="33">
        <v>0</v>
      </c>
      <c r="G154" s="34">
        <v>153056</v>
      </c>
      <c r="H154" s="64"/>
    </row>
    <row r="155" spans="1:8" ht="30" customHeight="1" x14ac:dyDescent="0.25">
      <c r="A155" s="76" t="s">
        <v>29</v>
      </c>
      <c r="B155" s="76"/>
      <c r="C155" s="23" t="s">
        <v>80</v>
      </c>
      <c r="D155" s="32" t="s">
        <v>37</v>
      </c>
      <c r="E155" s="26" t="s">
        <v>79</v>
      </c>
      <c r="F155" s="33">
        <v>0</v>
      </c>
      <c r="G155" s="34">
        <v>153256</v>
      </c>
      <c r="H155" s="64"/>
    </row>
    <row r="156" spans="1:8" ht="30" customHeight="1" x14ac:dyDescent="0.25">
      <c r="A156" s="76" t="s">
        <v>29</v>
      </c>
      <c r="B156" s="76"/>
      <c r="C156" s="23" t="s">
        <v>80</v>
      </c>
      <c r="D156" s="32" t="s">
        <v>37</v>
      </c>
      <c r="E156" s="26" t="s">
        <v>79</v>
      </c>
      <c r="F156" s="33">
        <v>0</v>
      </c>
      <c r="G156" s="34">
        <v>158363</v>
      </c>
      <c r="H156" s="64"/>
    </row>
    <row r="157" spans="1:8" ht="30" customHeight="1" x14ac:dyDescent="0.25">
      <c r="A157" s="76" t="s">
        <v>29</v>
      </c>
      <c r="B157" s="76"/>
      <c r="C157" s="23" t="s">
        <v>80</v>
      </c>
      <c r="D157" s="32" t="s">
        <v>37</v>
      </c>
      <c r="E157" s="26" t="s">
        <v>79</v>
      </c>
      <c r="F157" s="33">
        <v>0</v>
      </c>
      <c r="G157" s="34">
        <v>191232</v>
      </c>
      <c r="H157" s="64"/>
    </row>
    <row r="158" spans="1:8" ht="30" customHeight="1" x14ac:dyDescent="0.25">
      <c r="A158" s="76" t="s">
        <v>29</v>
      </c>
      <c r="B158" s="76"/>
      <c r="C158" s="23" t="s">
        <v>80</v>
      </c>
      <c r="D158" s="32" t="s">
        <v>37</v>
      </c>
      <c r="E158" s="26" t="s">
        <v>79</v>
      </c>
      <c r="F158" s="33">
        <v>0</v>
      </c>
      <c r="G158" s="34">
        <v>197133</v>
      </c>
      <c r="H158" s="64"/>
    </row>
    <row r="159" spans="1:8" ht="30" customHeight="1" x14ac:dyDescent="0.25">
      <c r="A159" s="76" t="s">
        <v>29</v>
      </c>
      <c r="B159" s="76"/>
      <c r="C159" s="23" t="s">
        <v>80</v>
      </c>
      <c r="D159" s="32" t="s">
        <v>37</v>
      </c>
      <c r="E159" s="26" t="s">
        <v>79</v>
      </c>
      <c r="F159" s="33">
        <v>0</v>
      </c>
      <c r="G159" s="34">
        <v>220120</v>
      </c>
      <c r="H159" s="64"/>
    </row>
    <row r="160" spans="1:8" ht="30" customHeight="1" x14ac:dyDescent="0.25">
      <c r="A160" s="76" t="s">
        <v>29</v>
      </c>
      <c r="B160" s="76"/>
      <c r="C160" s="23" t="s">
        <v>80</v>
      </c>
      <c r="D160" s="32" t="s">
        <v>37</v>
      </c>
      <c r="E160" s="26" t="s">
        <v>79</v>
      </c>
      <c r="F160" s="33">
        <v>0</v>
      </c>
      <c r="G160" s="34">
        <v>226828</v>
      </c>
      <c r="H160" s="64"/>
    </row>
    <row r="161" spans="1:8" ht="30" customHeight="1" x14ac:dyDescent="0.25">
      <c r="A161" s="76" t="s">
        <v>29</v>
      </c>
      <c r="B161" s="76"/>
      <c r="C161" s="23" t="s">
        <v>80</v>
      </c>
      <c r="D161" s="32" t="s">
        <v>37</v>
      </c>
      <c r="E161" s="26" t="s">
        <v>79</v>
      </c>
      <c r="F161" s="33">
        <v>0</v>
      </c>
      <c r="G161" s="34">
        <v>314025</v>
      </c>
      <c r="H161" s="64"/>
    </row>
    <row r="162" spans="1:8" ht="21.75" thickBot="1" x14ac:dyDescent="0.3">
      <c r="A162" s="8"/>
      <c r="B162" s="8"/>
      <c r="C162" s="23"/>
      <c r="D162" s="22"/>
      <c r="E162" s="22"/>
      <c r="F162" s="38" t="s">
        <v>81</v>
      </c>
      <c r="G162" s="39">
        <f>SUM(G29:G161)</f>
        <v>7041636</v>
      </c>
      <c r="H162" s="64">
        <v>1112</v>
      </c>
    </row>
    <row r="163" spans="1:8" ht="30" customHeight="1" x14ac:dyDescent="0.25">
      <c r="A163" s="76" t="s">
        <v>29</v>
      </c>
      <c r="B163" s="76"/>
      <c r="C163" s="23" t="s">
        <v>30</v>
      </c>
      <c r="D163" s="29" t="s">
        <v>34</v>
      </c>
      <c r="E163" s="27" t="s">
        <v>84</v>
      </c>
      <c r="F163" s="30">
        <v>0</v>
      </c>
      <c r="G163" s="31">
        <v>3133925</v>
      </c>
      <c r="H163" s="64"/>
    </row>
    <row r="164" spans="1:8" ht="30" customHeight="1" thickBot="1" x14ac:dyDescent="0.3">
      <c r="A164" s="76" t="s">
        <v>29</v>
      </c>
      <c r="B164" s="76"/>
      <c r="C164" s="23" t="s">
        <v>30</v>
      </c>
      <c r="D164" s="35" t="s">
        <v>34</v>
      </c>
      <c r="E164" s="28" t="s">
        <v>84</v>
      </c>
      <c r="F164" s="36">
        <v>0</v>
      </c>
      <c r="G164" s="37">
        <v>945437</v>
      </c>
      <c r="H164" s="64"/>
    </row>
    <row r="165" spans="1:8" ht="20.100000000000001" customHeight="1" thickBot="1" x14ac:dyDescent="0.3">
      <c r="A165" s="8"/>
      <c r="B165" s="8"/>
      <c r="C165" s="8"/>
      <c r="D165" s="21"/>
      <c r="E165" s="21"/>
      <c r="F165" s="47" t="s">
        <v>81</v>
      </c>
      <c r="G165" s="60">
        <f>SUM(G163:G164)</f>
        <v>4079362</v>
      </c>
      <c r="H165" s="64">
        <v>1113</v>
      </c>
    </row>
    <row r="166" spans="1:8" ht="30.75" thickBot="1" x14ac:dyDescent="0.3">
      <c r="A166" s="76" t="s">
        <v>29</v>
      </c>
      <c r="B166" s="76"/>
      <c r="C166" s="8" t="s">
        <v>30</v>
      </c>
      <c r="D166" s="8" t="s">
        <v>55</v>
      </c>
      <c r="E166" s="22" t="s">
        <v>85</v>
      </c>
      <c r="F166" s="59">
        <v>0</v>
      </c>
      <c r="G166" s="48">
        <v>26739</v>
      </c>
      <c r="H166" s="64">
        <v>1114</v>
      </c>
    </row>
    <row r="167" spans="1:8" ht="30.75" thickBot="1" x14ac:dyDescent="0.3">
      <c r="A167" s="76" t="s">
        <v>29</v>
      </c>
      <c r="B167" s="76"/>
      <c r="C167" s="8" t="s">
        <v>30</v>
      </c>
      <c r="D167" s="8" t="s">
        <v>44</v>
      </c>
      <c r="E167" s="22" t="s">
        <v>86</v>
      </c>
      <c r="F167" s="59">
        <v>0</v>
      </c>
      <c r="G167" s="48">
        <v>928121</v>
      </c>
      <c r="H167" s="64">
        <v>1115</v>
      </c>
    </row>
    <row r="168" spans="1:8" ht="30.75" thickBot="1" x14ac:dyDescent="0.3">
      <c r="A168" s="76" t="s">
        <v>29</v>
      </c>
      <c r="B168" s="76"/>
      <c r="C168" s="8" t="s">
        <v>30</v>
      </c>
      <c r="D168" s="8" t="s">
        <v>62</v>
      </c>
      <c r="E168" s="22" t="s">
        <v>87</v>
      </c>
      <c r="F168" s="59">
        <v>0</v>
      </c>
      <c r="G168" s="48">
        <v>523785</v>
      </c>
      <c r="H168" s="64">
        <v>1116</v>
      </c>
    </row>
    <row r="169" spans="1:8" ht="30.75" thickBot="1" x14ac:dyDescent="0.3">
      <c r="A169" s="76" t="s">
        <v>29</v>
      </c>
      <c r="B169" s="76"/>
      <c r="C169" s="25" t="s">
        <v>91</v>
      </c>
      <c r="D169" s="25" t="s">
        <v>57</v>
      </c>
      <c r="E169" s="45" t="s">
        <v>92</v>
      </c>
      <c r="F169" s="58">
        <v>0</v>
      </c>
      <c r="G169" s="51">
        <v>266837</v>
      </c>
      <c r="H169" s="64">
        <v>1117</v>
      </c>
    </row>
    <row r="170" spans="1:8" ht="30" x14ac:dyDescent="0.25">
      <c r="A170" s="76" t="s">
        <v>29</v>
      </c>
      <c r="B170" s="77"/>
      <c r="C170" s="29" t="s">
        <v>88</v>
      </c>
      <c r="D170" s="27" t="s">
        <v>32</v>
      </c>
      <c r="E170" s="27" t="s">
        <v>89</v>
      </c>
      <c r="F170" s="30">
        <v>0</v>
      </c>
      <c r="G170" s="31">
        <v>1874</v>
      </c>
      <c r="H170" s="66"/>
    </row>
    <row r="171" spans="1:8" ht="30" x14ac:dyDescent="0.25">
      <c r="A171" s="76" t="s">
        <v>29</v>
      </c>
      <c r="B171" s="77"/>
      <c r="C171" s="32" t="s">
        <v>88</v>
      </c>
      <c r="D171" s="26" t="s">
        <v>32</v>
      </c>
      <c r="E171" s="26" t="s">
        <v>89</v>
      </c>
      <c r="F171" s="33">
        <v>0</v>
      </c>
      <c r="G171" s="34">
        <v>9656</v>
      </c>
      <c r="H171" s="66"/>
    </row>
    <row r="172" spans="1:8" ht="30" x14ac:dyDescent="0.25">
      <c r="A172" s="76" t="s">
        <v>29</v>
      </c>
      <c r="B172" s="77"/>
      <c r="C172" s="32" t="s">
        <v>88</v>
      </c>
      <c r="D172" s="26" t="s">
        <v>32</v>
      </c>
      <c r="E172" s="26" t="s">
        <v>89</v>
      </c>
      <c r="F172" s="33">
        <v>0</v>
      </c>
      <c r="G172" s="34">
        <v>31587</v>
      </c>
      <c r="H172" s="66"/>
    </row>
    <row r="173" spans="1:8" ht="30.75" thickBot="1" x14ac:dyDescent="0.3">
      <c r="A173" s="76" t="s">
        <v>29</v>
      </c>
      <c r="B173" s="77"/>
      <c r="C173" s="35" t="s">
        <v>88</v>
      </c>
      <c r="D173" s="28" t="s">
        <v>32</v>
      </c>
      <c r="E173" s="28" t="s">
        <v>89</v>
      </c>
      <c r="F173" s="36">
        <v>0</v>
      </c>
      <c r="G173" s="37">
        <v>38730</v>
      </c>
      <c r="H173" s="66"/>
    </row>
    <row r="174" spans="1:8" ht="18.75" customHeight="1" thickBot="1" x14ac:dyDescent="0.3">
      <c r="A174" s="8"/>
      <c r="B174" s="8"/>
      <c r="C174" s="49"/>
      <c r="D174" s="49"/>
      <c r="E174" s="61"/>
      <c r="F174" s="50" t="s">
        <v>81</v>
      </c>
      <c r="G174" s="67">
        <f>SUM(G170:G173)</f>
        <v>81847</v>
      </c>
      <c r="H174" s="64">
        <v>1118</v>
      </c>
    </row>
    <row r="175" spans="1:8" ht="30" customHeight="1" x14ac:dyDescent="0.25">
      <c r="A175" s="76" t="s">
        <v>29</v>
      </c>
      <c r="B175" s="77"/>
      <c r="C175" s="29" t="s">
        <v>35</v>
      </c>
      <c r="D175" s="27" t="s">
        <v>49</v>
      </c>
      <c r="E175" s="27" t="s">
        <v>90</v>
      </c>
      <c r="F175" s="30">
        <v>0</v>
      </c>
      <c r="G175" s="31">
        <v>1390649</v>
      </c>
      <c r="H175" s="64"/>
    </row>
    <row r="176" spans="1:8" ht="30" customHeight="1" x14ac:dyDescent="0.25">
      <c r="A176" s="76" t="s">
        <v>29</v>
      </c>
      <c r="B176" s="77"/>
      <c r="C176" s="32" t="s">
        <v>35</v>
      </c>
      <c r="D176" s="26" t="s">
        <v>64</v>
      </c>
      <c r="E176" s="26" t="s">
        <v>90</v>
      </c>
      <c r="F176" s="33">
        <v>0</v>
      </c>
      <c r="G176" s="34">
        <v>675922</v>
      </c>
      <c r="H176" s="64"/>
    </row>
    <row r="177" spans="1:8" ht="30" customHeight="1" x14ac:dyDescent="0.25">
      <c r="A177" s="76" t="s">
        <v>29</v>
      </c>
      <c r="B177" s="77"/>
      <c r="C177" s="32" t="s">
        <v>35</v>
      </c>
      <c r="D177" s="26" t="s">
        <v>52</v>
      </c>
      <c r="E177" s="26" t="s">
        <v>90</v>
      </c>
      <c r="F177" s="33">
        <v>0</v>
      </c>
      <c r="G177" s="34">
        <v>1940221</v>
      </c>
      <c r="H177" s="64"/>
    </row>
    <row r="178" spans="1:8" ht="30" customHeight="1" x14ac:dyDescent="0.25">
      <c r="A178" s="76" t="s">
        <v>29</v>
      </c>
      <c r="B178" s="77"/>
      <c r="C178" s="32" t="s">
        <v>35</v>
      </c>
      <c r="D178" s="26" t="s">
        <v>42</v>
      </c>
      <c r="E178" s="26" t="s">
        <v>90</v>
      </c>
      <c r="F178" s="33">
        <v>0</v>
      </c>
      <c r="G178" s="34">
        <v>852959</v>
      </c>
      <c r="H178" s="64"/>
    </row>
    <row r="179" spans="1:8" ht="30" customHeight="1" x14ac:dyDescent="0.25">
      <c r="A179" s="76" t="s">
        <v>29</v>
      </c>
      <c r="B179" s="77"/>
      <c r="C179" s="32" t="s">
        <v>35</v>
      </c>
      <c r="D179" s="26" t="s">
        <v>53</v>
      </c>
      <c r="E179" s="26" t="s">
        <v>90</v>
      </c>
      <c r="F179" s="33">
        <v>0</v>
      </c>
      <c r="G179" s="34">
        <v>2024610</v>
      </c>
      <c r="H179" s="64"/>
    </row>
    <row r="180" spans="1:8" ht="30" customHeight="1" x14ac:dyDescent="0.25">
      <c r="A180" s="76" t="s">
        <v>29</v>
      </c>
      <c r="B180" s="77"/>
      <c r="C180" s="32" t="s">
        <v>35</v>
      </c>
      <c r="D180" s="26" t="s">
        <v>45</v>
      </c>
      <c r="E180" s="26" t="s">
        <v>90</v>
      </c>
      <c r="F180" s="33">
        <v>0</v>
      </c>
      <c r="G180" s="34">
        <v>971528</v>
      </c>
      <c r="H180" s="64"/>
    </row>
    <row r="181" spans="1:8" ht="30" customHeight="1" x14ac:dyDescent="0.25">
      <c r="A181" s="76" t="s">
        <v>29</v>
      </c>
      <c r="B181" s="77"/>
      <c r="C181" s="32" t="s">
        <v>35</v>
      </c>
      <c r="D181" s="26" t="s">
        <v>54</v>
      </c>
      <c r="E181" s="26" t="s">
        <v>90</v>
      </c>
      <c r="F181" s="33">
        <v>0</v>
      </c>
      <c r="G181" s="34">
        <v>2735764</v>
      </c>
      <c r="H181" s="64"/>
    </row>
    <row r="182" spans="1:8" ht="30" customHeight="1" x14ac:dyDescent="0.25">
      <c r="A182" s="76" t="s">
        <v>29</v>
      </c>
      <c r="B182" s="77"/>
      <c r="C182" s="32" t="s">
        <v>35</v>
      </c>
      <c r="D182" s="26" t="s">
        <v>61</v>
      </c>
      <c r="E182" s="26" t="s">
        <v>90</v>
      </c>
      <c r="F182" s="33">
        <v>0</v>
      </c>
      <c r="G182" s="34">
        <v>450587</v>
      </c>
      <c r="H182" s="64"/>
    </row>
    <row r="183" spans="1:8" ht="30" customHeight="1" x14ac:dyDescent="0.25">
      <c r="A183" s="76" t="s">
        <v>29</v>
      </c>
      <c r="B183" s="77"/>
      <c r="C183" s="32" t="s">
        <v>35</v>
      </c>
      <c r="D183" s="26" t="s">
        <v>41</v>
      </c>
      <c r="E183" s="26" t="s">
        <v>90</v>
      </c>
      <c r="F183" s="33">
        <v>0</v>
      </c>
      <c r="G183" s="34">
        <v>766847</v>
      </c>
      <c r="H183" s="64"/>
    </row>
    <row r="184" spans="1:8" ht="30" customHeight="1" x14ac:dyDescent="0.25">
      <c r="A184" s="76" t="s">
        <v>29</v>
      </c>
      <c r="B184" s="77"/>
      <c r="C184" s="32" t="s">
        <v>35</v>
      </c>
      <c r="D184" s="26" t="s">
        <v>58</v>
      </c>
      <c r="E184" s="26" t="s">
        <v>90</v>
      </c>
      <c r="F184" s="33">
        <v>0</v>
      </c>
      <c r="G184" s="34">
        <v>271717</v>
      </c>
      <c r="H184" s="64"/>
    </row>
    <row r="185" spans="1:8" ht="30" customHeight="1" x14ac:dyDescent="0.25">
      <c r="A185" s="76" t="s">
        <v>29</v>
      </c>
      <c r="B185" s="77"/>
      <c r="C185" s="32" t="s">
        <v>35</v>
      </c>
      <c r="D185" s="26" t="s">
        <v>47</v>
      </c>
      <c r="E185" s="26" t="s">
        <v>90</v>
      </c>
      <c r="F185" s="33">
        <v>0</v>
      </c>
      <c r="G185" s="34">
        <v>1127458</v>
      </c>
      <c r="H185" s="64"/>
    </row>
    <row r="186" spans="1:8" ht="30" customHeight="1" x14ac:dyDescent="0.25">
      <c r="A186" s="76" t="s">
        <v>29</v>
      </c>
      <c r="B186" s="77"/>
      <c r="C186" s="32" t="s">
        <v>35</v>
      </c>
      <c r="D186" s="26" t="s">
        <v>36</v>
      </c>
      <c r="E186" s="26" t="s">
        <v>90</v>
      </c>
      <c r="F186" s="33">
        <v>0</v>
      </c>
      <c r="G186" s="34">
        <v>3935971</v>
      </c>
      <c r="H186" s="64"/>
    </row>
    <row r="187" spans="1:8" ht="30" customHeight="1" x14ac:dyDescent="0.25">
      <c r="A187" s="76" t="s">
        <v>29</v>
      </c>
      <c r="B187" s="77"/>
      <c r="C187" s="32" t="s">
        <v>35</v>
      </c>
      <c r="D187" s="26" t="s">
        <v>50</v>
      </c>
      <c r="E187" s="26" t="s">
        <v>90</v>
      </c>
      <c r="F187" s="33">
        <v>0</v>
      </c>
      <c r="G187" s="34">
        <v>1471313</v>
      </c>
      <c r="H187" s="64"/>
    </row>
    <row r="188" spans="1:8" ht="30" customHeight="1" x14ac:dyDescent="0.25">
      <c r="A188" s="76" t="s">
        <v>29</v>
      </c>
      <c r="B188" s="77"/>
      <c r="C188" s="32" t="s">
        <v>35</v>
      </c>
      <c r="D188" s="26" t="s">
        <v>43</v>
      </c>
      <c r="E188" s="26" t="s">
        <v>90</v>
      </c>
      <c r="F188" s="33">
        <v>0</v>
      </c>
      <c r="G188" s="34">
        <v>877721</v>
      </c>
      <c r="H188" s="64"/>
    </row>
    <row r="189" spans="1:8" ht="30" customHeight="1" x14ac:dyDescent="0.25">
      <c r="A189" s="76" t="s">
        <v>29</v>
      </c>
      <c r="B189" s="77"/>
      <c r="C189" s="32" t="s">
        <v>35</v>
      </c>
      <c r="D189" s="26" t="s">
        <v>46</v>
      </c>
      <c r="E189" s="26" t="s">
        <v>90</v>
      </c>
      <c r="F189" s="33">
        <v>0</v>
      </c>
      <c r="G189" s="34">
        <v>1001304</v>
      </c>
      <c r="H189" s="64"/>
    </row>
    <row r="190" spans="1:8" ht="30" customHeight="1" x14ac:dyDescent="0.25">
      <c r="A190" s="76" t="s">
        <v>29</v>
      </c>
      <c r="B190" s="77"/>
      <c r="C190" s="32" t="s">
        <v>35</v>
      </c>
      <c r="D190" s="26" t="s">
        <v>51</v>
      </c>
      <c r="E190" s="26" t="s">
        <v>90</v>
      </c>
      <c r="F190" s="33">
        <v>0</v>
      </c>
      <c r="G190" s="34">
        <v>1480058</v>
      </c>
      <c r="H190" s="64"/>
    </row>
    <row r="191" spans="1:8" ht="30" customHeight="1" x14ac:dyDescent="0.25">
      <c r="A191" s="76" t="s">
        <v>29</v>
      </c>
      <c r="B191" s="77"/>
      <c r="C191" s="32" t="s">
        <v>35</v>
      </c>
      <c r="D191" s="26" t="s">
        <v>63</v>
      </c>
      <c r="E191" s="26" t="s">
        <v>90</v>
      </c>
      <c r="F191" s="33">
        <v>0</v>
      </c>
      <c r="G191" s="34">
        <v>544246</v>
      </c>
      <c r="H191" s="64"/>
    </row>
    <row r="192" spans="1:8" ht="30" customHeight="1" thickBot="1" x14ac:dyDescent="0.3">
      <c r="A192" s="76" t="s">
        <v>29</v>
      </c>
      <c r="B192" s="77"/>
      <c r="C192" s="35" t="s">
        <v>35</v>
      </c>
      <c r="D192" s="28" t="s">
        <v>48</v>
      </c>
      <c r="E192" s="28" t="s">
        <v>90</v>
      </c>
      <c r="F192" s="36">
        <v>0</v>
      </c>
      <c r="G192" s="37">
        <v>1190082</v>
      </c>
      <c r="H192" s="64"/>
    </row>
    <row r="193" spans="1:8" ht="20.100000000000001" customHeight="1" thickBot="1" x14ac:dyDescent="0.3">
      <c r="A193" s="8"/>
      <c r="B193" s="8"/>
      <c r="C193" s="21"/>
      <c r="D193" s="21"/>
      <c r="E193" s="21"/>
      <c r="F193" s="47" t="s">
        <v>81</v>
      </c>
      <c r="G193" s="60">
        <f>SUM(G175:G192)</f>
        <v>23708957</v>
      </c>
      <c r="H193" s="64">
        <v>1119</v>
      </c>
    </row>
    <row r="194" spans="1:8" ht="30.75" thickBot="1" x14ac:dyDescent="0.3">
      <c r="A194" s="76" t="s">
        <v>29</v>
      </c>
      <c r="B194" s="76"/>
      <c r="C194" s="8" t="s">
        <v>30</v>
      </c>
      <c r="D194" s="8" t="s">
        <v>59</v>
      </c>
      <c r="E194" s="22" t="s">
        <v>60</v>
      </c>
      <c r="F194" s="59">
        <v>0</v>
      </c>
      <c r="G194" s="48">
        <v>367911</v>
      </c>
      <c r="H194" s="64">
        <v>1120</v>
      </c>
    </row>
    <row r="195" spans="1:8" ht="15" customHeight="1" x14ac:dyDescent="0.25">
      <c r="A195" s="1"/>
      <c r="B195" s="1"/>
      <c r="C195" s="1"/>
      <c r="D195" s="1"/>
      <c r="E195" s="1"/>
      <c r="F195" s="6"/>
      <c r="G195" s="20">
        <f>G25+G26+G27+G28+G162+G165+G166+G167+G168+G169+G174+G193+G194</f>
        <v>70184498</v>
      </c>
    </row>
    <row r="196" spans="1:8" x14ac:dyDescent="0.25">
      <c r="A196" s="80"/>
      <c r="B196" s="80"/>
      <c r="C196" s="80"/>
      <c r="D196" s="80"/>
      <c r="E196" s="80"/>
      <c r="F196" s="80"/>
      <c r="G196" s="80"/>
    </row>
    <row r="197" spans="1:8" x14ac:dyDescent="0.25">
      <c r="A197" s="69"/>
      <c r="B197" s="69"/>
      <c r="C197" s="69"/>
      <c r="D197" s="69"/>
      <c r="E197" s="69"/>
      <c r="F197" s="69"/>
      <c r="G197" s="69"/>
    </row>
    <row r="198" spans="1:8" ht="15" customHeight="1" x14ac:dyDescent="0.25">
      <c r="A198" s="68" t="s">
        <v>65</v>
      </c>
      <c r="B198" s="68"/>
      <c r="C198" s="68"/>
      <c r="D198" s="68"/>
      <c r="E198" s="68"/>
      <c r="F198" s="68"/>
      <c r="G198" s="68"/>
    </row>
    <row r="199" spans="1:8" x14ac:dyDescent="0.25">
      <c r="A199" s="69"/>
      <c r="B199" s="69"/>
      <c r="C199" s="69"/>
      <c r="D199" s="69"/>
      <c r="E199" s="69"/>
      <c r="F199" s="69"/>
      <c r="G199" s="69"/>
    </row>
    <row r="200" spans="1:8" x14ac:dyDescent="0.25">
      <c r="A200" s="8" t="s">
        <v>66</v>
      </c>
      <c r="B200" s="11">
        <v>5487824710</v>
      </c>
      <c r="C200" s="10"/>
    </row>
    <row r="201" spans="1:8" x14ac:dyDescent="0.25">
      <c r="A201" s="8" t="s">
        <v>67</v>
      </c>
      <c r="B201" s="12">
        <v>0</v>
      </c>
      <c r="C201" s="10"/>
    </row>
    <row r="202" spans="1:8" x14ac:dyDescent="0.25">
      <c r="A202" s="8" t="s">
        <v>68</v>
      </c>
      <c r="B202" s="12">
        <v>0</v>
      </c>
      <c r="C202" s="10"/>
    </row>
    <row r="203" spans="1:8" x14ac:dyDescent="0.25">
      <c r="A203" s="8" t="s">
        <v>69</v>
      </c>
      <c r="B203" s="11">
        <v>23708957</v>
      </c>
      <c r="C203" s="13">
        <f>B203+B204</f>
        <v>70184498</v>
      </c>
    </row>
    <row r="204" spans="1:8" x14ac:dyDescent="0.25">
      <c r="A204" s="8" t="s">
        <v>70</v>
      </c>
      <c r="B204" s="11">
        <v>46475541</v>
      </c>
      <c r="C204" s="10"/>
    </row>
    <row r="205" spans="1:8" x14ac:dyDescent="0.25">
      <c r="A205" s="8" t="s">
        <v>71</v>
      </c>
      <c r="B205" s="9">
        <v>5558009208</v>
      </c>
      <c r="C205" s="10"/>
    </row>
    <row r="206" spans="1:8" x14ac:dyDescent="0.25">
      <c r="A206" s="7"/>
    </row>
    <row r="207" spans="1:8" x14ac:dyDescent="0.25">
      <c r="A207" s="7"/>
    </row>
    <row r="208" spans="1:8" x14ac:dyDescent="0.25">
      <c r="A208" s="7"/>
    </row>
  </sheetData>
  <sortState xmlns:xlrd2="http://schemas.microsoft.com/office/spreadsheetml/2017/richdata2" ref="C17:G194">
    <sortCondition ref="D17:D194"/>
  </sortState>
  <mergeCells count="185">
    <mergeCell ref="A197:G197"/>
    <mergeCell ref="A198:G198"/>
    <mergeCell ref="A199:G199"/>
    <mergeCell ref="A189:B189"/>
    <mergeCell ref="A190:B190"/>
    <mergeCell ref="A191:B191"/>
    <mergeCell ref="A192:B192"/>
    <mergeCell ref="A194:B194"/>
    <mergeCell ref="A196:G196"/>
    <mergeCell ref="A183:B183"/>
    <mergeCell ref="A184:B184"/>
    <mergeCell ref="A185:B185"/>
    <mergeCell ref="A186:B186"/>
    <mergeCell ref="A187:B187"/>
    <mergeCell ref="A188:B188"/>
    <mergeCell ref="A177:B177"/>
    <mergeCell ref="A178:B178"/>
    <mergeCell ref="A179:B179"/>
    <mergeCell ref="A180:B180"/>
    <mergeCell ref="A181:B181"/>
    <mergeCell ref="A182:B182"/>
    <mergeCell ref="A170:B170"/>
    <mergeCell ref="A171:B171"/>
    <mergeCell ref="A172:B172"/>
    <mergeCell ref="A173:B173"/>
    <mergeCell ref="A175:B175"/>
    <mergeCell ref="A176:B176"/>
    <mergeCell ref="A163:B163"/>
    <mergeCell ref="A164:B164"/>
    <mergeCell ref="A166:B166"/>
    <mergeCell ref="A167:B167"/>
    <mergeCell ref="A168:B168"/>
    <mergeCell ref="A169:B169"/>
    <mergeCell ref="A156:B156"/>
    <mergeCell ref="A157:B157"/>
    <mergeCell ref="A158:B158"/>
    <mergeCell ref="A159:B159"/>
    <mergeCell ref="A160:B160"/>
    <mergeCell ref="A161:B161"/>
    <mergeCell ref="A150:B150"/>
    <mergeCell ref="A151:B151"/>
    <mergeCell ref="A152:B152"/>
    <mergeCell ref="A153:B153"/>
    <mergeCell ref="A154:B154"/>
    <mergeCell ref="A155:B155"/>
    <mergeCell ref="A144:B144"/>
    <mergeCell ref="A145:B145"/>
    <mergeCell ref="A146:B146"/>
    <mergeCell ref="A147:B147"/>
    <mergeCell ref="A148:B148"/>
    <mergeCell ref="A149:B149"/>
    <mergeCell ref="A138:B138"/>
    <mergeCell ref="A139:B139"/>
    <mergeCell ref="A140:B140"/>
    <mergeCell ref="A141:B141"/>
    <mergeCell ref="A142:B142"/>
    <mergeCell ref="A143:B143"/>
    <mergeCell ref="A132:B132"/>
    <mergeCell ref="A133:B133"/>
    <mergeCell ref="A134:B134"/>
    <mergeCell ref="A135:B135"/>
    <mergeCell ref="A136:B136"/>
    <mergeCell ref="A137:B137"/>
    <mergeCell ref="A126:B126"/>
    <mergeCell ref="A127:B127"/>
    <mergeCell ref="A128:B128"/>
    <mergeCell ref="A129:B129"/>
    <mergeCell ref="A130:B130"/>
    <mergeCell ref="A131:B131"/>
    <mergeCell ref="A120:B120"/>
    <mergeCell ref="A121:B121"/>
    <mergeCell ref="A122:B122"/>
    <mergeCell ref="A123:B123"/>
    <mergeCell ref="A124:B124"/>
    <mergeCell ref="A125:B125"/>
    <mergeCell ref="A114:B114"/>
    <mergeCell ref="A115:B115"/>
    <mergeCell ref="A116:B116"/>
    <mergeCell ref="A117:B117"/>
    <mergeCell ref="A118:B118"/>
    <mergeCell ref="A119:B119"/>
    <mergeCell ref="A108:B108"/>
    <mergeCell ref="A109:B109"/>
    <mergeCell ref="A110:B110"/>
    <mergeCell ref="A111:B111"/>
    <mergeCell ref="A112:B112"/>
    <mergeCell ref="A113:B113"/>
    <mergeCell ref="A102:B102"/>
    <mergeCell ref="A103:B103"/>
    <mergeCell ref="A104:B104"/>
    <mergeCell ref="A105:B105"/>
    <mergeCell ref="A106:B106"/>
    <mergeCell ref="A107:B107"/>
    <mergeCell ref="A96:B96"/>
    <mergeCell ref="A97:B97"/>
    <mergeCell ref="A98:B98"/>
    <mergeCell ref="A99:B99"/>
    <mergeCell ref="A100:B100"/>
    <mergeCell ref="A101:B101"/>
    <mergeCell ref="A90:B90"/>
    <mergeCell ref="A91:B91"/>
    <mergeCell ref="A92:B92"/>
    <mergeCell ref="A93:B93"/>
    <mergeCell ref="A94:B94"/>
    <mergeCell ref="A95:B95"/>
    <mergeCell ref="A84:B84"/>
    <mergeCell ref="A85:B85"/>
    <mergeCell ref="A86:B86"/>
    <mergeCell ref="A87:B87"/>
    <mergeCell ref="A88:B88"/>
    <mergeCell ref="A89:B89"/>
    <mergeCell ref="A78:B78"/>
    <mergeCell ref="A79:B79"/>
    <mergeCell ref="A80:B80"/>
    <mergeCell ref="A81:B81"/>
    <mergeCell ref="A82:B82"/>
    <mergeCell ref="A83:B83"/>
    <mergeCell ref="A72:B72"/>
    <mergeCell ref="A73:B73"/>
    <mergeCell ref="A74:B74"/>
    <mergeCell ref="A75:B75"/>
    <mergeCell ref="A76:B76"/>
    <mergeCell ref="A77:B77"/>
    <mergeCell ref="A66:B66"/>
    <mergeCell ref="A67:B67"/>
    <mergeCell ref="A68:B68"/>
    <mergeCell ref="A69:B69"/>
    <mergeCell ref="A70:B70"/>
    <mergeCell ref="A71:B71"/>
    <mergeCell ref="A60:B60"/>
    <mergeCell ref="A61:B61"/>
    <mergeCell ref="A62:B62"/>
    <mergeCell ref="A63:B63"/>
    <mergeCell ref="A64:B64"/>
    <mergeCell ref="A65:B65"/>
    <mergeCell ref="A54:B54"/>
    <mergeCell ref="A55:B55"/>
    <mergeCell ref="A56:B56"/>
    <mergeCell ref="A57:B57"/>
    <mergeCell ref="A58:B58"/>
    <mergeCell ref="A59:B59"/>
    <mergeCell ref="A48:B48"/>
    <mergeCell ref="A49:B49"/>
    <mergeCell ref="A50:B50"/>
    <mergeCell ref="A51:B51"/>
    <mergeCell ref="A52:B52"/>
    <mergeCell ref="A53:B53"/>
    <mergeCell ref="A42:B42"/>
    <mergeCell ref="A43:B43"/>
    <mergeCell ref="A44:B44"/>
    <mergeCell ref="A45:B45"/>
    <mergeCell ref="A46:B46"/>
    <mergeCell ref="A47:B47"/>
    <mergeCell ref="A36:B36"/>
    <mergeCell ref="A37:B37"/>
    <mergeCell ref="A38:B38"/>
    <mergeCell ref="A39:B39"/>
    <mergeCell ref="A40:B40"/>
    <mergeCell ref="A41:B41"/>
    <mergeCell ref="A30:B30"/>
    <mergeCell ref="A31:B31"/>
    <mergeCell ref="A32:B32"/>
    <mergeCell ref="A33:B33"/>
    <mergeCell ref="A34:B34"/>
    <mergeCell ref="A35:B35"/>
    <mergeCell ref="A23:B23"/>
    <mergeCell ref="A24:B24"/>
    <mergeCell ref="A27:B27"/>
    <mergeCell ref="A28:B28"/>
    <mergeCell ref="A29:B29"/>
    <mergeCell ref="A17:B17"/>
    <mergeCell ref="A26:B26"/>
    <mergeCell ref="A18:B18"/>
    <mergeCell ref="A19:B19"/>
    <mergeCell ref="A20:B20"/>
    <mergeCell ref="A21:B21"/>
    <mergeCell ref="A2:E2"/>
    <mergeCell ref="A3:E3"/>
    <mergeCell ref="A1:E1"/>
    <mergeCell ref="A15:B16"/>
    <mergeCell ref="C15:C16"/>
    <mergeCell ref="D15:D16"/>
    <mergeCell ref="E15:E16"/>
    <mergeCell ref="A14:G14"/>
    <mergeCell ref="A22:B22"/>
  </mergeCells>
  <pageMargins left="0.75" right="0.75" top="1" bottom="1" header="0.5" footer="0.5"/>
  <pageSetup scale="56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37"/>
  <sheetViews>
    <sheetView workbookViewId="0">
      <selection activeCell="G19" sqref="G19"/>
    </sheetView>
  </sheetViews>
  <sheetFormatPr baseColWidth="10" defaultRowHeight="15" x14ac:dyDescent="0.25"/>
  <cols>
    <col min="1" max="1" width="17.85546875" bestFit="1" customWidth="1"/>
    <col min="2" max="2" width="14.140625" customWidth="1"/>
    <col min="3" max="3" width="16.140625" bestFit="1" customWidth="1"/>
    <col min="4" max="4" width="12.7109375" bestFit="1" customWidth="1"/>
    <col min="5" max="5" width="39.28515625" customWidth="1"/>
    <col min="6" max="6" width="9.5703125" bestFit="1" customWidth="1"/>
    <col min="7" max="7" width="10.7109375" bestFit="1" customWidth="1"/>
  </cols>
  <sheetData>
    <row r="1" spans="1:7" ht="18" x14ac:dyDescent="0.25">
      <c r="A1" s="70" t="s">
        <v>0</v>
      </c>
      <c r="B1" s="70"/>
      <c r="C1" s="70"/>
      <c r="D1" s="70"/>
      <c r="E1" s="70"/>
    </row>
    <row r="2" spans="1:7" x14ac:dyDescent="0.25">
      <c r="A2" s="69"/>
      <c r="B2" s="69"/>
      <c r="C2" s="69"/>
      <c r="D2" s="69"/>
      <c r="E2" s="69"/>
      <c r="F2" s="69"/>
    </row>
    <row r="3" spans="1:7" ht="15" customHeight="1" x14ac:dyDescent="0.25">
      <c r="A3" s="68" t="s">
        <v>1</v>
      </c>
      <c r="B3" s="68"/>
      <c r="C3" s="68"/>
      <c r="D3" s="68"/>
      <c r="E3" s="68"/>
    </row>
    <row r="4" spans="1:7" x14ac:dyDescent="0.25">
      <c r="A4" s="69"/>
      <c r="B4" s="69"/>
      <c r="C4" s="69"/>
      <c r="D4" s="69"/>
      <c r="E4" s="69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43903</v>
      </c>
    </row>
    <row r="8" spans="1:7" x14ac:dyDescent="0.25">
      <c r="A8" s="2" t="s">
        <v>12</v>
      </c>
      <c r="B8" s="1" t="s">
        <v>72</v>
      </c>
      <c r="C8" s="1"/>
      <c r="D8" s="1"/>
      <c r="E8" s="1"/>
    </row>
    <row r="9" spans="1:7" ht="21" x14ac:dyDescent="0.35">
      <c r="A9" s="1"/>
      <c r="F9" s="19" t="s">
        <v>76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40</v>
      </c>
      <c r="C12" s="1"/>
      <c r="D12" s="2" t="s">
        <v>16</v>
      </c>
      <c r="E12" s="4">
        <v>43902</v>
      </c>
    </row>
    <row r="13" spans="1:7" x14ac:dyDescent="0.25">
      <c r="A13" s="2" t="s">
        <v>17</v>
      </c>
      <c r="B13" s="3">
        <v>1</v>
      </c>
      <c r="C13" s="1"/>
      <c r="D13" s="2" t="s">
        <v>18</v>
      </c>
      <c r="E13" s="4">
        <v>43902</v>
      </c>
    </row>
    <row r="14" spans="1:7" x14ac:dyDescent="0.25">
      <c r="A14" s="2" t="s">
        <v>19</v>
      </c>
      <c r="B14" s="4">
        <v>43902</v>
      </c>
      <c r="C14" s="1"/>
      <c r="D14" s="1"/>
      <c r="E14" s="1"/>
    </row>
    <row r="15" spans="1:7" ht="15" customHeight="1" x14ac:dyDescent="0.25">
      <c r="A15" s="68" t="s">
        <v>20</v>
      </c>
      <c r="B15" s="68"/>
      <c r="C15" s="68"/>
      <c r="D15" s="68"/>
      <c r="E15" s="68"/>
      <c r="F15" s="68"/>
      <c r="G15" s="68"/>
    </row>
    <row r="16" spans="1:7" ht="15.75" thickBot="1" x14ac:dyDescent="0.3">
      <c r="A16" s="69"/>
      <c r="B16" s="69"/>
      <c r="C16" s="69"/>
      <c r="D16" s="69"/>
      <c r="E16" s="69"/>
      <c r="F16" s="69"/>
      <c r="G16" s="69"/>
    </row>
    <row r="17" spans="1:8" x14ac:dyDescent="0.25">
      <c r="A17" s="71" t="s">
        <v>21</v>
      </c>
      <c r="B17" s="72"/>
      <c r="C17" s="72" t="s">
        <v>22</v>
      </c>
      <c r="D17" s="72" t="s">
        <v>23</v>
      </c>
      <c r="E17" s="72" t="s">
        <v>24</v>
      </c>
      <c r="F17" s="15" t="s">
        <v>25</v>
      </c>
      <c r="G17" s="15" t="s">
        <v>27</v>
      </c>
      <c r="H17" s="16" t="s">
        <v>74</v>
      </c>
    </row>
    <row r="18" spans="1:8" ht="15.75" thickBot="1" x14ac:dyDescent="0.3">
      <c r="A18" s="73"/>
      <c r="B18" s="74"/>
      <c r="C18" s="74"/>
      <c r="D18" s="74"/>
      <c r="E18" s="74"/>
      <c r="F18" s="17" t="s">
        <v>26</v>
      </c>
      <c r="G18" s="17" t="s">
        <v>28</v>
      </c>
      <c r="H18" s="18" t="s">
        <v>75</v>
      </c>
    </row>
    <row r="19" spans="1:8" ht="80.099999999999994" customHeight="1" thickBot="1" x14ac:dyDescent="0.3">
      <c r="A19" s="81" t="s">
        <v>29</v>
      </c>
      <c r="B19" s="81"/>
      <c r="C19" s="14" t="s">
        <v>93</v>
      </c>
      <c r="D19" s="14" t="s">
        <v>73</v>
      </c>
      <c r="E19" s="62" t="s">
        <v>94</v>
      </c>
      <c r="F19" s="63">
        <v>0</v>
      </c>
      <c r="G19" s="65">
        <v>618750</v>
      </c>
      <c r="H19" s="64">
        <v>1171</v>
      </c>
    </row>
    <row r="20" spans="1:8" x14ac:dyDescent="0.25">
      <c r="A20" s="80"/>
      <c r="B20" s="80"/>
      <c r="C20" s="80"/>
      <c r="D20" s="80"/>
      <c r="E20" s="80"/>
      <c r="F20" s="80"/>
      <c r="G20" s="80"/>
    </row>
    <row r="21" spans="1:8" x14ac:dyDescent="0.25">
      <c r="A21" s="5"/>
      <c r="B21" s="5"/>
      <c r="C21" s="5"/>
      <c r="D21" s="5"/>
      <c r="E21" s="5"/>
      <c r="F21" s="5"/>
      <c r="G21" s="5"/>
    </row>
    <row r="22" spans="1:8" x14ac:dyDescent="0.25">
      <c r="A22" s="5"/>
      <c r="B22" s="5"/>
      <c r="C22" s="5"/>
      <c r="D22" s="5"/>
      <c r="E22" s="5"/>
      <c r="F22" s="5"/>
      <c r="G22" s="5"/>
    </row>
    <row r="23" spans="1:8" x14ac:dyDescent="0.25">
      <c r="A23" s="5"/>
      <c r="B23" s="5"/>
      <c r="C23" s="5"/>
      <c r="D23" s="5"/>
      <c r="E23" s="5"/>
      <c r="F23" s="5"/>
      <c r="G23" s="5"/>
    </row>
    <row r="24" spans="1:8" x14ac:dyDescent="0.25">
      <c r="A24" s="5"/>
      <c r="B24" s="5"/>
      <c r="C24" s="5"/>
      <c r="D24" s="5"/>
      <c r="E24" s="5"/>
      <c r="F24" s="5"/>
      <c r="G24" s="5"/>
    </row>
    <row r="25" spans="1:8" x14ac:dyDescent="0.25">
      <c r="A25" s="5"/>
      <c r="B25" s="5"/>
      <c r="C25" s="5"/>
      <c r="D25" s="5"/>
      <c r="E25" s="5"/>
      <c r="F25" s="5"/>
      <c r="G25" s="5"/>
    </row>
    <row r="26" spans="1:8" x14ac:dyDescent="0.25">
      <c r="A26" s="69"/>
      <c r="B26" s="69"/>
      <c r="C26" s="69"/>
      <c r="D26" s="69"/>
      <c r="E26" s="69"/>
      <c r="F26" s="69"/>
      <c r="G26" s="69"/>
    </row>
    <row r="27" spans="1:8" ht="15" customHeight="1" x14ac:dyDescent="0.25">
      <c r="A27" s="68" t="s">
        <v>65</v>
      </c>
      <c r="B27" s="68"/>
      <c r="C27" s="68"/>
      <c r="D27" s="68"/>
      <c r="E27" s="68"/>
      <c r="F27" s="68"/>
      <c r="G27" s="68"/>
    </row>
    <row r="28" spans="1:8" x14ac:dyDescent="0.25">
      <c r="A28" s="69"/>
      <c r="B28" s="69"/>
      <c r="C28" s="69"/>
      <c r="D28" s="69"/>
      <c r="E28" s="69"/>
      <c r="F28" s="69"/>
      <c r="G28" s="69"/>
    </row>
    <row r="29" spans="1:8" x14ac:dyDescent="0.25">
      <c r="A29" s="8" t="s">
        <v>66</v>
      </c>
      <c r="B29" s="11">
        <v>2520746453</v>
      </c>
      <c r="C29" s="10"/>
    </row>
    <row r="30" spans="1:8" x14ac:dyDescent="0.25">
      <c r="A30" s="8" t="s">
        <v>67</v>
      </c>
      <c r="B30" s="12">
        <v>0</v>
      </c>
      <c r="C30" s="10"/>
    </row>
    <row r="31" spans="1:8" x14ac:dyDescent="0.25">
      <c r="A31" s="8" t="s">
        <v>68</v>
      </c>
      <c r="B31" s="12">
        <v>0</v>
      </c>
      <c r="C31" s="10"/>
    </row>
    <row r="32" spans="1:8" x14ac:dyDescent="0.25">
      <c r="A32" s="8" t="s">
        <v>69</v>
      </c>
      <c r="B32" s="12">
        <v>0</v>
      </c>
      <c r="C32" s="13">
        <f>B32+B33</f>
        <v>618750</v>
      </c>
    </row>
    <row r="33" spans="1:3" x14ac:dyDescent="0.25">
      <c r="A33" s="8" t="s">
        <v>70</v>
      </c>
      <c r="B33" s="11">
        <v>618750</v>
      </c>
      <c r="C33" s="10"/>
    </row>
    <row r="34" spans="1:3" x14ac:dyDescent="0.25">
      <c r="A34" s="8" t="s">
        <v>71</v>
      </c>
      <c r="B34" s="9">
        <v>2521365203</v>
      </c>
      <c r="C34" s="10"/>
    </row>
    <row r="35" spans="1:3" x14ac:dyDescent="0.25">
      <c r="A35" s="7"/>
    </row>
    <row r="36" spans="1:3" x14ac:dyDescent="0.25">
      <c r="A36" s="7"/>
    </row>
    <row r="37" spans="1:3" x14ac:dyDescent="0.25">
      <c r="A37" s="7"/>
    </row>
  </sheetData>
  <mergeCells count="15">
    <mergeCell ref="A26:G26"/>
    <mergeCell ref="A27:G27"/>
    <mergeCell ref="A28:G28"/>
    <mergeCell ref="A17:B18"/>
    <mergeCell ref="C17:C18"/>
    <mergeCell ref="D17:D18"/>
    <mergeCell ref="E17:E18"/>
    <mergeCell ref="A19:B19"/>
    <mergeCell ref="A20:G20"/>
    <mergeCell ref="A16:G16"/>
    <mergeCell ref="A1:E1"/>
    <mergeCell ref="A2:F2"/>
    <mergeCell ref="A3:E3"/>
    <mergeCell ref="A4:E4"/>
    <mergeCell ref="A15:G15"/>
  </mergeCells>
  <pageMargins left="0.7" right="0.7" top="0.75" bottom="0.75" header="0.3" footer="0.3"/>
  <pageSetup scale="6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2020-03-23T20:26:54Z</cp:lastPrinted>
  <dcterms:created xsi:type="dcterms:W3CDTF">2020-03-13T11:32:38Z</dcterms:created>
  <dcterms:modified xsi:type="dcterms:W3CDTF">2020-03-24T17:10:56Z</dcterms:modified>
</cp:coreProperties>
</file>