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D2E46FF3-FD2F-4322-8C5A-2BAA5A25253B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4" i="3" l="1"/>
  <c r="G21" i="3"/>
  <c r="G71" i="2" l="1"/>
  <c r="G68" i="2"/>
  <c r="G60" i="2"/>
  <c r="G41" i="2"/>
  <c r="G34" i="2"/>
  <c r="G30" i="2"/>
  <c r="G24" i="2"/>
  <c r="G82" i="2" l="1"/>
  <c r="C36" i="3"/>
  <c r="C96" i="2"/>
</calcChain>
</file>

<file path=xl/sharedStrings.xml><?xml version="1.0" encoding="utf-8"?>
<sst xmlns="http://schemas.openxmlformats.org/spreadsheetml/2006/main" count="327" uniqueCount="102">
  <si>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</si>
  <si>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</si>
  <si>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</si>
  <si>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</si>
  <si>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</si>
  <si>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</si>
  <si>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</si>
  <si>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</si>
  <si>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</si>
  <si>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</si>
  <si>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</si>
  <si>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</si>
  <si>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</si>
  <si>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</si>
  <si>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</si>
  <si>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</si>
  <si>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</si>
  <si>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</si>
  <si>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</si>
  <si>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</si>
  <si>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</si>
  <si>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</si>
  <si>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</si>
  <si>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</si>
  <si>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</si>
  <si>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</si>
  <si>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</si>
  <si>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</si>
  <si>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</si>
  <si>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10-03-2020  </t>
  </si>
  <si>
    <t>STGO.PRINCIPAL </t>
  </si>
  <si>
    <t>7089627 </t>
  </si>
  <si>
    <t>TRANSFERENCIA INTERNET A BANCO ESTADO S/TC CLIENTE</t>
  </si>
  <si>
    <t>MACHALI </t>
  </si>
  <si>
    <t>3505390 </t>
  </si>
  <si>
    <t>YUNGAY </t>
  </si>
  <si>
    <t>2508480 </t>
  </si>
  <si>
    <t>0203071 </t>
  </si>
  <si>
    <t>CASTRO </t>
  </si>
  <si>
    <t>0001782 </t>
  </si>
  <si>
    <t>PAGO DE CHEQUE CON DEPOSITO CUENTA CORRIENTE</t>
  </si>
  <si>
    <t>0206011 </t>
  </si>
  <si>
    <t>0202446 </t>
  </si>
  <si>
    <t>0209274 </t>
  </si>
  <si>
    <t>0205351 </t>
  </si>
  <si>
    <t>0206994 </t>
  </si>
  <si>
    <t>0207081 </t>
  </si>
  <si>
    <t>1350016 </t>
  </si>
  <si>
    <t>0203064 </t>
  </si>
  <si>
    <t>0204382 </t>
  </si>
  <si>
    <t>ANCUD </t>
  </si>
  <si>
    <t>0205459 </t>
  </si>
  <si>
    <t>0202242 </t>
  </si>
  <si>
    <t>0215181 </t>
  </si>
  <si>
    <t>0205310 </t>
  </si>
  <si>
    <t>0203645 </t>
  </si>
  <si>
    <t>0205572 </t>
  </si>
  <si>
    <t>0215231 </t>
  </si>
  <si>
    <t>0203074 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</si>
  <si>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</si>
  <si>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</si>
  <si>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</si>
  <si>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</si>
  <si>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</si>
  <si>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</si>
  <si>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</si>
  <si>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</si>
  <si>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</si>
  <si>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Comprobantes</t>
  </si>
  <si>
    <t>CENTRAL DE ABASTECIMIENTOS SNS EQUIP Y</t>
  </si>
  <si>
    <t>12  Comprobantes</t>
  </si>
  <si>
    <t>0206203 </t>
  </si>
  <si>
    <t>0205676 </t>
  </si>
  <si>
    <t>0203648 </t>
  </si>
  <si>
    <t>0204595 </t>
  </si>
  <si>
    <t>TOTAL</t>
  </si>
  <si>
    <t>ABONO PAGO A PROVEEDORES HOSPITAL DR.HERNAN HENRIQUEZ TEMUCO</t>
  </si>
  <si>
    <t xml:space="preserve"> ABONO PAGO A PROVEEDORES  SERVICIO DE SALUD DE VALDIVIA</t>
  </si>
  <si>
    <t>ABONO PAGO A PROVEEDORES HOSPITAL EXEQUIEL GONZALEZ CORTEZ</t>
  </si>
  <si>
    <t>ABONO PAGO A PROVEEDORES HOSPITAL DE LONCOCHE</t>
  </si>
  <si>
    <t>ABONO PAGO A PROVEEDORES HOSPITAL DE VILCUN</t>
  </si>
  <si>
    <t>ABONO PAGO A PROVEEDORES SERVICIO DE SALUD DE VIÑA DEL MAR</t>
  </si>
  <si>
    <t>ABONO PAGO A PROVEEDORES HOSPITAL DE OSORNO</t>
  </si>
  <si>
    <t>ABONO PAGO A PROVEEDORES HOSPITAL DE SAN FERNANDO</t>
  </si>
  <si>
    <t>ABONO PAGO A PROVEEDORES HOSPITAL DEL SALVADOR</t>
  </si>
  <si>
    <t>ABONO PAGO A PROVEEDORES HOSPITAL CLINICO SAN BORJA ARRIARAN</t>
  </si>
  <si>
    <t>ABONO PAGO A PROVEEDORES HOSPITAL DE ANTOFAGASTA</t>
  </si>
  <si>
    <t>ABONO PAGO A PROVEEDORES HOSPITAL DE SAN VICENTE DE TAGUA TAGUA</t>
  </si>
  <si>
    <t>ABONO PAGO A PROVEEDORES MUNICIPALIDAD DE SAN ROSENDO</t>
  </si>
  <si>
    <t>ABONO PAGO A PROVEEDORES SERVICIO DE SALUD DE IQUIQUE</t>
  </si>
  <si>
    <t>ABONO PAGO A PROVEEDORES HOSPITAL SALVADOR DE VALPARAISO</t>
  </si>
  <si>
    <t>ABONO PAGO A PROVEEDORES HOSPITAL DE COINCO</t>
  </si>
  <si>
    <t>ABONO PAGO A PROVEEDORES HOSPITAL DE PUERTO MONTT</t>
  </si>
  <si>
    <t>PAGOS VARIOS DESDE BCO BCI MUNICIPALIDAD DE VICTORIA</t>
  </si>
  <si>
    <t>DEPOSITO CON DOCUMENTOS MUNICIPALIDAD DE YUNGAY</t>
  </si>
  <si>
    <t>DEPOSITOCON DOCUMENTOS MUNICIPALIDAD DE MACHALI</t>
  </si>
  <si>
    <t>ABONO PAGO A PROVEEDORES SERVICIO DE SALUD DE ACONCAGUA</t>
  </si>
  <si>
    <t>ABONO PAGO A PROVEEDORES HOSPITAL DE LOS ANDES</t>
  </si>
  <si>
    <t>ABONO PAGO A PROVEEDORES HOSPITAL DE PUNTA ARENAS</t>
  </si>
  <si>
    <t>NUMEROS</t>
  </si>
  <si>
    <t>INGRESOS</t>
  </si>
  <si>
    <t>ingreso 12-1168 anulado 12-1172 diferentes codigos zonales bancarios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</si>
</sst>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0" fontId="0" fillId="0" borderId="0" xfId="0" applyBorder="1" applyAlignment="1">
      <alignment wrapText="1"/>
    </xf>
    <xf numFmtId="3" fontId="21" fillId="0" borderId="0" xfId="0" applyNumberFormat="1" applyFont="1" applyBorder="1" applyAlignment="1">
      <alignment horizontal="right" wrapText="1"/>
    </xf>
    <xf numFmtId="0" fontId="0" fillId="0" borderId="0" xfId="0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7" xfId="0" applyFont="1" applyBorder="1"/>
    <xf numFmtId="0" fontId="22" fillId="0" borderId="0" xfId="0" applyFont="1"/>
    <xf numFmtId="3" fontId="21" fillId="0" borderId="11" xfId="0" applyNumberFormat="1" applyFont="1" applyBorder="1" applyAlignment="1">
      <alignment horizontal="right" vertical="center" wrapText="1"/>
    </xf>
    <xf numFmtId="0" fontId="0" fillId="0" borderId="1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21" fillId="0" borderId="0" xfId="0" applyFont="1" applyAlignment="1">
      <alignment horizontal="right" vertical="center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horizontal="right" vertical="top"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0" fontId="16" fillId="0" borderId="23" xfId="0" applyFont="1" applyBorder="1" applyAlignment="1">
      <alignment wrapText="1"/>
    </xf>
    <xf numFmtId="0" fontId="16" fillId="0" borderId="24" xfId="0" applyFont="1" applyBorder="1" applyAlignment="1">
      <alignment wrapText="1"/>
    </xf>
    <xf numFmtId="0" fontId="23" fillId="0" borderId="24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26" xfId="0" applyFont="1" applyBorder="1" applyAlignment="1">
      <alignment wrapText="1"/>
    </xf>
    <xf numFmtId="3" fontId="23" fillId="0" borderId="27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3" fillId="0" borderId="22" xfId="0" applyNumberFormat="1" applyFont="1" applyBorder="1" applyAlignment="1">
      <alignment horizontal="right" wrapText="1"/>
    </xf>
    <xf numFmtId="0" fontId="16" fillId="0" borderId="29" xfId="0" applyFont="1" applyBorder="1" applyAlignment="1">
      <alignment wrapText="1"/>
    </xf>
    <xf numFmtId="0" fontId="23" fillId="0" borderId="29" xfId="0" applyFont="1" applyBorder="1" applyAlignment="1">
      <alignment horizontal="right" wrapText="1"/>
    </xf>
    <xf numFmtId="3" fontId="23" fillId="0" borderId="29" xfId="0" applyNumberFormat="1" applyFont="1" applyBorder="1" applyAlignment="1">
      <alignment horizontal="right" wrapText="1"/>
    </xf>
    <xf numFmtId="0" fontId="21" fillId="0" borderId="18" xfId="0" applyFont="1" applyBorder="1" applyAlignment="1">
      <alignment horizontal="right" wrapText="1"/>
    </xf>
    <xf numFmtId="3" fontId="23" fillId="0" borderId="30" xfId="0" applyNumberFormat="1" applyFont="1" applyBorder="1" applyAlignment="1">
      <alignment horizontal="right" wrapText="1"/>
    </xf>
    <xf numFmtId="0" fontId="0" fillId="0" borderId="28" xfId="0" applyBorder="1" applyAlignment="1">
      <alignment wrapText="1"/>
    </xf>
    <xf numFmtId="0" fontId="16" fillId="0" borderId="28" xfId="0" applyFont="1" applyBorder="1" applyAlignment="1">
      <alignment wrapText="1"/>
    </xf>
    <xf numFmtId="0" fontId="21" fillId="0" borderId="31" xfId="0" applyFont="1" applyBorder="1" applyAlignment="1">
      <alignment horizontal="right" wrapText="1"/>
    </xf>
    <xf numFmtId="3" fontId="23" fillId="0" borderId="32" xfId="0" applyNumberFormat="1" applyFont="1" applyBorder="1" applyAlignment="1">
      <alignment horizontal="right" wrapText="1"/>
    </xf>
    <xf numFmtId="0" fontId="0" fillId="0" borderId="29" xfId="0" applyBorder="1" applyAlignment="1">
      <alignment wrapText="1"/>
    </xf>
    <xf numFmtId="0" fontId="21" fillId="0" borderId="33" xfId="0" applyFont="1" applyBorder="1" applyAlignment="1">
      <alignment horizontal="right" wrapText="1"/>
    </xf>
    <xf numFmtId="3" fontId="23" fillId="0" borderId="34" xfId="0" applyNumberFormat="1" applyFont="1" applyBorder="1" applyAlignment="1">
      <alignment horizontal="right" wrapText="1"/>
    </xf>
    <xf numFmtId="0" fontId="0" fillId="0" borderId="11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21" fillId="0" borderId="19" xfId="0" applyFont="1" applyBorder="1" applyAlignment="1">
      <alignment horizontal="right" vertical="center" wrapText="1"/>
    </xf>
    <xf numFmtId="3" fontId="23" fillId="0" borderId="22" xfId="0" applyNumberFormat="1" applyFont="1" applyBorder="1" applyAlignment="1">
      <alignment horizontal="right" vertical="center" wrapText="1"/>
    </xf>
    <xf numFmtId="0" fontId="16" fillId="0" borderId="10" xfId="0" applyFont="1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21" fillId="0" borderId="18" xfId="0" applyFont="1" applyBorder="1" applyAlignment="1">
      <alignment horizontal="right" vertical="center" wrapText="1"/>
    </xf>
    <xf numFmtId="3" fontId="23" fillId="0" borderId="30" xfId="0" applyNumberFormat="1" applyFont="1" applyBorder="1" applyAlignment="1">
      <alignment horizontal="right" vertical="center" wrapText="1"/>
    </xf>
    <xf numFmtId="0" fontId="16" fillId="0" borderId="12" xfId="0" applyFont="1" applyBorder="1" applyAlignment="1">
      <alignment vertical="center" wrapText="1"/>
    </xf>
    <xf numFmtId="0" fontId="16" fillId="0" borderId="13" xfId="0" applyFont="1" applyBorder="1" applyAlignment="1">
      <alignment vertical="center" wrapText="1"/>
    </xf>
    <xf numFmtId="0" fontId="23" fillId="0" borderId="13" xfId="0" applyFont="1" applyBorder="1" applyAlignment="1">
      <alignment horizontal="right" vertical="center" wrapText="1"/>
    </xf>
    <xf numFmtId="3" fontId="23" fillId="0" borderId="14" xfId="0" applyNumberFormat="1" applyFont="1" applyBorder="1" applyAlignment="1">
      <alignment horizontal="right" vertical="center" wrapText="1"/>
    </xf>
    <xf numFmtId="0" fontId="16" fillId="0" borderId="15" xfId="0" applyFont="1" applyBorder="1" applyAlignment="1">
      <alignment vertical="center" wrapText="1"/>
    </xf>
    <xf numFmtId="0" fontId="16" fillId="0" borderId="16" xfId="0" applyFont="1" applyBorder="1" applyAlignment="1">
      <alignment vertical="center" wrapText="1"/>
    </xf>
    <xf numFmtId="0" fontId="23" fillId="0" borderId="16" xfId="0" applyFont="1" applyBorder="1" applyAlignment="1">
      <alignment horizontal="right" vertical="center" wrapText="1"/>
    </xf>
    <xf numFmtId="3" fontId="23" fillId="0" borderId="17" xfId="0" applyNumberFormat="1" applyFont="1" applyBorder="1" applyAlignment="1">
      <alignment horizontal="right" vertical="center" wrapText="1"/>
    </xf>
    <xf numFmtId="3" fontId="21" fillId="0" borderId="0" xfId="0" applyNumberFormat="1" applyFont="1" applyBorder="1" applyAlignment="1">
      <alignment horizontal="right" vertical="center" wrapText="1"/>
    </xf>
    <xf numFmtId="0" fontId="21" fillId="0" borderId="11" xfId="0" applyFont="1" applyBorder="1" applyAlignment="1">
      <alignment horizontal="right" wrapText="1"/>
    </xf>
    <xf numFmtId="0" fontId="24" fillId="0" borderId="20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5" fillId="0" borderId="11" xfId="0" applyFont="1" applyBorder="1" applyAlignment="1">
      <alignment vertical="center" wrapText="1"/>
    </xf>
    <xf numFmtId="0" fontId="24" fillId="0" borderId="20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11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0" fillId="0" borderId="11" xfId="0" applyBorder="1" applyAlignment="1">
      <alignment vertical="center" wrapText="1"/>
    </xf>
    <xf numFmtId="0" fontId="0" fillId="0" borderId="10" xfId="0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101"/>
  <sheetViews>
    <sheetView showGridLines="0" topLeftCell="A5" workbookViewId="0">
      <selection activeCell="D78" sqref="D78"/>
    </sheetView>
  </sheetViews>
  <sheetFormatPr baseColWidth="10" defaultRowHeight="15" x14ac:dyDescent="0.25"/>
  <cols>
    <col min="1" max="1" width="17.85546875" bestFit="1" customWidth="1"/>
    <col min="2" max="2" width="16" customWidth="1"/>
    <col min="3" max="3" width="16.140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1.140625" bestFit="1" customWidth="1"/>
  </cols>
  <sheetData>
    <row r="1" spans="1:7" ht="18" customHeight="1" x14ac:dyDescent="0.25">
      <c r="A1" s="90" t="s">
        <v>0</v>
      </c>
      <c r="B1" s="90"/>
      <c r="C1" s="90"/>
      <c r="D1" s="90"/>
      <c r="E1" s="90"/>
    </row>
    <row r="2" spans="1:7" x14ac:dyDescent="0.25">
      <c r="A2" s="85"/>
      <c r="B2" s="85"/>
      <c r="C2" s="85"/>
      <c r="D2" s="85"/>
      <c r="E2" s="85"/>
      <c r="F2" s="85"/>
    </row>
    <row r="3" spans="1:7" ht="15" customHeight="1" x14ac:dyDescent="0.25">
      <c r="A3" s="84" t="s">
        <v>1</v>
      </c>
      <c r="B3" s="84"/>
      <c r="C3" s="84"/>
      <c r="D3" s="84"/>
      <c r="E3" s="84"/>
    </row>
    <row r="4" spans="1:7" x14ac:dyDescent="0.25">
      <c r="A4" s="85"/>
      <c r="B4" s="85"/>
      <c r="C4" s="85"/>
      <c r="D4" s="85"/>
      <c r="E4" s="85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43902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18.75" x14ac:dyDescent="0.3">
      <c r="A9" s="1"/>
      <c r="F9" s="19" t="s">
        <v>68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49</v>
      </c>
      <c r="C12" s="1"/>
      <c r="D12" s="2" t="s">
        <v>16</v>
      </c>
      <c r="E12" s="4">
        <v>43900</v>
      </c>
    </row>
    <row r="13" spans="1:7" x14ac:dyDescent="0.25">
      <c r="A13" s="2" t="s">
        <v>17</v>
      </c>
      <c r="B13" s="3">
        <v>56</v>
      </c>
      <c r="C13" s="1"/>
      <c r="D13" s="2" t="s">
        <v>18</v>
      </c>
      <c r="E13" s="4">
        <v>43900</v>
      </c>
    </row>
    <row r="14" spans="1:7" x14ac:dyDescent="0.25">
      <c r="A14" s="2" t="s">
        <v>19</v>
      </c>
      <c r="B14" s="4">
        <v>43900</v>
      </c>
      <c r="C14" s="1"/>
      <c r="D14" s="1"/>
      <c r="E14" s="1"/>
    </row>
    <row r="15" spans="1:7" ht="15" customHeight="1" x14ac:dyDescent="0.25">
      <c r="A15" s="84" t="s">
        <v>20</v>
      </c>
      <c r="B15" s="84"/>
      <c r="C15" s="84"/>
      <c r="D15" s="84"/>
      <c r="E15" s="84"/>
      <c r="F15" s="84"/>
      <c r="G15" s="84"/>
    </row>
    <row r="16" spans="1:7" ht="15.75" thickBot="1" x14ac:dyDescent="0.3">
      <c r="A16" s="85"/>
      <c r="B16" s="85"/>
      <c r="C16" s="85"/>
      <c r="D16" s="85"/>
      <c r="E16" s="85"/>
      <c r="F16" s="85"/>
      <c r="G16" s="85"/>
    </row>
    <row r="17" spans="1:8" x14ac:dyDescent="0.25">
      <c r="A17" s="91" t="s">
        <v>21</v>
      </c>
      <c r="B17" s="92"/>
      <c r="C17" s="92" t="s">
        <v>22</v>
      </c>
      <c r="D17" s="92" t="s">
        <v>23</v>
      </c>
      <c r="E17" s="92" t="s">
        <v>24</v>
      </c>
      <c r="F17" s="16" t="s">
        <v>25</v>
      </c>
      <c r="G17" s="16" t="s">
        <v>27</v>
      </c>
      <c r="H17" s="17" t="s">
        <v>66</v>
      </c>
    </row>
    <row r="18" spans="1:8" ht="15.75" thickBot="1" x14ac:dyDescent="0.3">
      <c r="A18" s="93"/>
      <c r="B18" s="94"/>
      <c r="C18" s="95"/>
      <c r="D18" s="95"/>
      <c r="E18" s="95"/>
      <c r="F18" s="27" t="s">
        <v>26</v>
      </c>
      <c r="G18" s="27" t="s">
        <v>28</v>
      </c>
      <c r="H18" s="18" t="s">
        <v>67</v>
      </c>
    </row>
    <row r="19" spans="1:8" ht="32.25" thickBot="1" x14ac:dyDescent="0.4">
      <c r="A19" s="87" t="s">
        <v>29</v>
      </c>
      <c r="B19" s="88"/>
      <c r="C19" s="30" t="s">
        <v>38</v>
      </c>
      <c r="D19" s="31" t="s">
        <v>39</v>
      </c>
      <c r="E19" s="31" t="s">
        <v>40</v>
      </c>
      <c r="F19" s="32">
        <v>0</v>
      </c>
      <c r="G19" s="33">
        <v>10657</v>
      </c>
      <c r="H19" s="78">
        <v>1072</v>
      </c>
    </row>
    <row r="20" spans="1:8" ht="31.5" x14ac:dyDescent="0.35">
      <c r="A20" s="83" t="s">
        <v>29</v>
      </c>
      <c r="B20" s="89"/>
      <c r="C20" s="34" t="s">
        <v>50</v>
      </c>
      <c r="D20" s="35" t="s">
        <v>39</v>
      </c>
      <c r="E20" s="35" t="s">
        <v>40</v>
      </c>
      <c r="F20" s="36">
        <v>0</v>
      </c>
      <c r="G20" s="37">
        <v>488812</v>
      </c>
      <c r="H20" s="79"/>
    </row>
    <row r="21" spans="1:8" ht="31.5" x14ac:dyDescent="0.35">
      <c r="A21" s="83" t="s">
        <v>29</v>
      </c>
      <c r="B21" s="89"/>
      <c r="C21" s="38" t="s">
        <v>50</v>
      </c>
      <c r="D21" s="28" t="s">
        <v>39</v>
      </c>
      <c r="E21" s="28" t="s">
        <v>40</v>
      </c>
      <c r="F21" s="29">
        <v>0</v>
      </c>
      <c r="G21" s="39">
        <v>905981</v>
      </c>
      <c r="H21" s="79"/>
    </row>
    <row r="22" spans="1:8" ht="31.5" x14ac:dyDescent="0.35">
      <c r="A22" s="83" t="s">
        <v>29</v>
      </c>
      <c r="B22" s="89"/>
      <c r="C22" s="38" t="s">
        <v>50</v>
      </c>
      <c r="D22" s="28" t="s">
        <v>39</v>
      </c>
      <c r="E22" s="28" t="s">
        <v>40</v>
      </c>
      <c r="F22" s="29">
        <v>0</v>
      </c>
      <c r="G22" s="39">
        <v>948991</v>
      </c>
      <c r="H22" s="79"/>
    </row>
    <row r="23" spans="1:8" ht="32.25" thickBot="1" x14ac:dyDescent="0.4">
      <c r="A23" s="83" t="s">
        <v>29</v>
      </c>
      <c r="B23" s="89"/>
      <c r="C23" s="40" t="s">
        <v>50</v>
      </c>
      <c r="D23" s="41" t="s">
        <v>39</v>
      </c>
      <c r="E23" s="41" t="s">
        <v>40</v>
      </c>
      <c r="F23" s="42">
        <v>0</v>
      </c>
      <c r="G23" s="43">
        <v>2543074</v>
      </c>
      <c r="H23" s="79"/>
    </row>
    <row r="24" spans="1:8" ht="21.75" thickBot="1" x14ac:dyDescent="0.4">
      <c r="A24" s="6"/>
      <c r="B24" s="44"/>
      <c r="C24" s="25"/>
      <c r="D24" s="47"/>
      <c r="E24" s="47"/>
      <c r="F24" s="48" t="s">
        <v>75</v>
      </c>
      <c r="G24" s="49">
        <f>SUM(G20:G23)</f>
        <v>4886858</v>
      </c>
      <c r="H24" s="79">
        <v>1073</v>
      </c>
    </row>
    <row r="25" spans="1:8" ht="31.5" x14ac:dyDescent="0.35">
      <c r="A25" s="83" t="s">
        <v>29</v>
      </c>
      <c r="B25" s="89"/>
      <c r="C25" s="44" t="s">
        <v>30</v>
      </c>
      <c r="D25" s="34" t="s">
        <v>52</v>
      </c>
      <c r="E25" s="35" t="s">
        <v>76</v>
      </c>
      <c r="F25" s="36">
        <v>0</v>
      </c>
      <c r="G25" s="37">
        <v>14690907</v>
      </c>
      <c r="H25" s="79"/>
    </row>
    <row r="26" spans="1:8" ht="31.5" x14ac:dyDescent="0.35">
      <c r="A26" s="83" t="s">
        <v>29</v>
      </c>
      <c r="B26" s="83"/>
      <c r="C26" s="44" t="s">
        <v>30</v>
      </c>
      <c r="D26" s="38" t="s">
        <v>52</v>
      </c>
      <c r="E26" s="28" t="s">
        <v>76</v>
      </c>
      <c r="F26" s="29">
        <v>0</v>
      </c>
      <c r="G26" s="39">
        <v>17513852</v>
      </c>
      <c r="H26" s="79"/>
    </row>
    <row r="27" spans="1:8" ht="31.5" x14ac:dyDescent="0.35">
      <c r="A27" s="83" t="s">
        <v>29</v>
      </c>
      <c r="B27" s="83"/>
      <c r="C27" s="44" t="s">
        <v>30</v>
      </c>
      <c r="D27" s="38" t="s">
        <v>52</v>
      </c>
      <c r="E27" s="28" t="s">
        <v>76</v>
      </c>
      <c r="F27" s="29">
        <v>0</v>
      </c>
      <c r="G27" s="39">
        <v>22459905</v>
      </c>
      <c r="H27" s="79"/>
    </row>
    <row r="28" spans="1:8" ht="31.5" x14ac:dyDescent="0.35">
      <c r="A28" s="83" t="s">
        <v>29</v>
      </c>
      <c r="B28" s="83"/>
      <c r="C28" s="44" t="s">
        <v>30</v>
      </c>
      <c r="D28" s="38" t="s">
        <v>52</v>
      </c>
      <c r="E28" s="28" t="s">
        <v>76</v>
      </c>
      <c r="F28" s="29">
        <v>0</v>
      </c>
      <c r="G28" s="39">
        <v>23465735</v>
      </c>
      <c r="H28" s="79"/>
    </row>
    <row r="29" spans="1:8" ht="32.25" thickBot="1" x14ac:dyDescent="0.4">
      <c r="A29" s="83" t="s">
        <v>29</v>
      </c>
      <c r="B29" s="83"/>
      <c r="C29" s="44" t="s">
        <v>30</v>
      </c>
      <c r="D29" s="40" t="s">
        <v>52</v>
      </c>
      <c r="E29" s="41" t="s">
        <v>76</v>
      </c>
      <c r="F29" s="42">
        <v>0</v>
      </c>
      <c r="G29" s="43">
        <v>78863601</v>
      </c>
      <c r="H29" s="79"/>
    </row>
    <row r="30" spans="1:8" ht="20.100000000000001" customHeight="1" thickBot="1" x14ac:dyDescent="0.4">
      <c r="A30" s="6"/>
      <c r="B30" s="6"/>
      <c r="C30" s="6"/>
      <c r="D30" s="15"/>
      <c r="E30" s="15"/>
      <c r="F30" s="50" t="s">
        <v>75</v>
      </c>
      <c r="G30" s="51">
        <f>SUM(G25:G29)</f>
        <v>156994000</v>
      </c>
      <c r="H30" s="79">
        <v>1074</v>
      </c>
    </row>
    <row r="31" spans="1:8" ht="32.25" thickBot="1" x14ac:dyDescent="0.4">
      <c r="A31" s="83" t="s">
        <v>29</v>
      </c>
      <c r="B31" s="83"/>
      <c r="C31" s="6" t="s">
        <v>30</v>
      </c>
      <c r="D31" s="52" t="s">
        <v>42</v>
      </c>
      <c r="E31" s="53" t="s">
        <v>77</v>
      </c>
      <c r="F31" s="54">
        <v>0</v>
      </c>
      <c r="G31" s="55">
        <v>13865</v>
      </c>
      <c r="H31" s="79">
        <v>1075</v>
      </c>
    </row>
    <row r="32" spans="1:8" ht="31.5" x14ac:dyDescent="0.35">
      <c r="A32" s="83" t="s">
        <v>29</v>
      </c>
      <c r="B32" s="83"/>
      <c r="C32" s="44" t="s">
        <v>30</v>
      </c>
      <c r="D32" s="34" t="s">
        <v>48</v>
      </c>
      <c r="E32" s="35" t="s">
        <v>78</v>
      </c>
      <c r="F32" s="36">
        <v>0</v>
      </c>
      <c r="G32" s="37">
        <v>99317</v>
      </c>
      <c r="H32" s="79"/>
    </row>
    <row r="33" spans="1:8" ht="32.25" thickBot="1" x14ac:dyDescent="0.4">
      <c r="A33" s="83" t="s">
        <v>29</v>
      </c>
      <c r="B33" s="83"/>
      <c r="C33" s="44" t="s">
        <v>30</v>
      </c>
      <c r="D33" s="40" t="s">
        <v>48</v>
      </c>
      <c r="E33" s="41" t="s">
        <v>78</v>
      </c>
      <c r="F33" s="42">
        <v>0</v>
      </c>
      <c r="G33" s="43">
        <v>1760756</v>
      </c>
      <c r="H33" s="79"/>
    </row>
    <row r="34" spans="1:8" ht="20.100000000000001" customHeight="1" thickBot="1" x14ac:dyDescent="0.4">
      <c r="A34" s="6"/>
      <c r="B34" s="6"/>
      <c r="C34" s="6"/>
      <c r="D34" s="56"/>
      <c r="E34" s="56"/>
      <c r="F34" s="57" t="s">
        <v>75</v>
      </c>
      <c r="G34" s="58">
        <f>SUM(G32:G33)</f>
        <v>1860073</v>
      </c>
      <c r="H34" s="79">
        <v>1076</v>
      </c>
    </row>
    <row r="35" spans="1:8" ht="30" customHeight="1" x14ac:dyDescent="0.35">
      <c r="A35" s="83" t="s">
        <v>29</v>
      </c>
      <c r="B35" s="83"/>
      <c r="C35" s="44" t="s">
        <v>30</v>
      </c>
      <c r="D35" s="34" t="s">
        <v>37</v>
      </c>
      <c r="E35" s="35" t="s">
        <v>79</v>
      </c>
      <c r="F35" s="36">
        <v>0</v>
      </c>
      <c r="G35" s="37">
        <v>10322</v>
      </c>
      <c r="H35" s="79"/>
    </row>
    <row r="36" spans="1:8" ht="30" customHeight="1" x14ac:dyDescent="0.35">
      <c r="A36" s="83" t="s">
        <v>29</v>
      </c>
      <c r="B36" s="83"/>
      <c r="C36" s="44" t="s">
        <v>30</v>
      </c>
      <c r="D36" s="38" t="s">
        <v>37</v>
      </c>
      <c r="E36" s="28" t="s">
        <v>79</v>
      </c>
      <c r="F36" s="29">
        <v>0</v>
      </c>
      <c r="G36" s="39">
        <v>17896</v>
      </c>
      <c r="H36" s="79"/>
    </row>
    <row r="37" spans="1:8" ht="30" customHeight="1" x14ac:dyDescent="0.35">
      <c r="A37" s="83" t="s">
        <v>29</v>
      </c>
      <c r="B37" s="83"/>
      <c r="C37" s="44" t="s">
        <v>30</v>
      </c>
      <c r="D37" s="38" t="s">
        <v>37</v>
      </c>
      <c r="E37" s="28" t="s">
        <v>79</v>
      </c>
      <c r="F37" s="29">
        <v>0</v>
      </c>
      <c r="G37" s="39">
        <v>682362</v>
      </c>
      <c r="H37" s="79"/>
    </row>
    <row r="38" spans="1:8" ht="30" customHeight="1" x14ac:dyDescent="0.35">
      <c r="A38" s="83" t="s">
        <v>29</v>
      </c>
      <c r="B38" s="83"/>
      <c r="C38" s="44" t="s">
        <v>30</v>
      </c>
      <c r="D38" s="38" t="s">
        <v>37</v>
      </c>
      <c r="E38" s="28" t="s">
        <v>79</v>
      </c>
      <c r="F38" s="29">
        <v>0</v>
      </c>
      <c r="G38" s="39">
        <v>772011</v>
      </c>
      <c r="H38" s="79"/>
    </row>
    <row r="39" spans="1:8" ht="30" customHeight="1" x14ac:dyDescent="0.35">
      <c r="A39" s="83" t="s">
        <v>29</v>
      </c>
      <c r="B39" s="83"/>
      <c r="C39" s="44" t="s">
        <v>30</v>
      </c>
      <c r="D39" s="38" t="s">
        <v>37</v>
      </c>
      <c r="E39" s="28" t="s">
        <v>79</v>
      </c>
      <c r="F39" s="29">
        <v>0</v>
      </c>
      <c r="G39" s="39">
        <v>778085</v>
      </c>
      <c r="H39" s="79"/>
    </row>
    <row r="40" spans="1:8" ht="30" customHeight="1" thickBot="1" x14ac:dyDescent="0.4">
      <c r="A40" s="83" t="s">
        <v>29</v>
      </c>
      <c r="B40" s="83"/>
      <c r="C40" s="44" t="s">
        <v>30</v>
      </c>
      <c r="D40" s="40" t="s">
        <v>37</v>
      </c>
      <c r="E40" s="41" t="s">
        <v>79</v>
      </c>
      <c r="F40" s="42">
        <v>0</v>
      </c>
      <c r="G40" s="43">
        <v>788745</v>
      </c>
      <c r="H40" s="79"/>
    </row>
    <row r="41" spans="1:8" ht="20.100000000000001" customHeight="1" thickBot="1" x14ac:dyDescent="0.4">
      <c r="A41" s="6"/>
      <c r="B41" s="6"/>
      <c r="C41" s="6"/>
      <c r="D41" s="15"/>
      <c r="E41" s="15"/>
      <c r="F41" s="50" t="s">
        <v>75</v>
      </c>
      <c r="G41" s="51">
        <f>SUM(G35:G40)</f>
        <v>3049421</v>
      </c>
      <c r="H41" s="79">
        <v>1077</v>
      </c>
    </row>
    <row r="42" spans="1:8" ht="32.25" thickBot="1" x14ac:dyDescent="0.4">
      <c r="A42" s="83" t="s">
        <v>29</v>
      </c>
      <c r="B42" s="83"/>
      <c r="C42" s="6" t="s">
        <v>30</v>
      </c>
      <c r="D42" s="6" t="s">
        <v>58</v>
      </c>
      <c r="E42" s="26" t="s">
        <v>80</v>
      </c>
      <c r="F42" s="45">
        <v>0</v>
      </c>
      <c r="G42" s="46">
        <v>4254608</v>
      </c>
      <c r="H42" s="79">
        <v>1078</v>
      </c>
    </row>
    <row r="43" spans="1:8" ht="32.25" thickBot="1" x14ac:dyDescent="0.4">
      <c r="A43" s="83" t="s">
        <v>29</v>
      </c>
      <c r="B43" s="83"/>
      <c r="C43" s="6" t="s">
        <v>30</v>
      </c>
      <c r="D43" s="52" t="s">
        <v>55</v>
      </c>
      <c r="E43" s="53" t="s">
        <v>81</v>
      </c>
      <c r="F43" s="54">
        <v>0</v>
      </c>
      <c r="G43" s="55">
        <v>1545654</v>
      </c>
      <c r="H43" s="79">
        <v>1079</v>
      </c>
    </row>
    <row r="44" spans="1:8" ht="30" customHeight="1" x14ac:dyDescent="0.35">
      <c r="A44" s="83" t="s">
        <v>29</v>
      </c>
      <c r="B44" s="83"/>
      <c r="C44" s="44" t="s">
        <v>30</v>
      </c>
      <c r="D44" s="34" t="s">
        <v>49</v>
      </c>
      <c r="E44" s="35" t="s">
        <v>82</v>
      </c>
      <c r="F44" s="36">
        <v>0</v>
      </c>
      <c r="G44" s="37">
        <v>307577</v>
      </c>
      <c r="H44" s="79"/>
    </row>
    <row r="45" spans="1:8" ht="30" customHeight="1" x14ac:dyDescent="0.35">
      <c r="A45" s="83" t="s">
        <v>29</v>
      </c>
      <c r="B45" s="83"/>
      <c r="C45" s="44" t="s">
        <v>30</v>
      </c>
      <c r="D45" s="38" t="s">
        <v>49</v>
      </c>
      <c r="E45" s="28" t="s">
        <v>82</v>
      </c>
      <c r="F45" s="29">
        <v>0</v>
      </c>
      <c r="G45" s="39">
        <v>1360700</v>
      </c>
      <c r="H45" s="79"/>
    </row>
    <row r="46" spans="1:8" ht="30" customHeight="1" x14ac:dyDescent="0.35">
      <c r="A46" s="83" t="s">
        <v>29</v>
      </c>
      <c r="B46" s="83"/>
      <c r="C46" s="44" t="s">
        <v>30</v>
      </c>
      <c r="D46" s="38" t="s">
        <v>49</v>
      </c>
      <c r="E46" s="28" t="s">
        <v>82</v>
      </c>
      <c r="F46" s="29">
        <v>0</v>
      </c>
      <c r="G46" s="39">
        <v>1456151</v>
      </c>
      <c r="H46" s="79"/>
    </row>
    <row r="47" spans="1:8" ht="30" customHeight="1" x14ac:dyDescent="0.35">
      <c r="A47" s="83" t="s">
        <v>29</v>
      </c>
      <c r="B47" s="83"/>
      <c r="C47" s="44" t="s">
        <v>30</v>
      </c>
      <c r="D47" s="38" t="s">
        <v>49</v>
      </c>
      <c r="E47" s="28" t="s">
        <v>82</v>
      </c>
      <c r="F47" s="29">
        <v>0</v>
      </c>
      <c r="G47" s="39">
        <v>1458816</v>
      </c>
      <c r="H47" s="79"/>
    </row>
    <row r="48" spans="1:8" ht="30" customHeight="1" x14ac:dyDescent="0.35">
      <c r="A48" s="83" t="s">
        <v>29</v>
      </c>
      <c r="B48" s="83"/>
      <c r="C48" s="44" t="s">
        <v>30</v>
      </c>
      <c r="D48" s="38" t="s">
        <v>49</v>
      </c>
      <c r="E48" s="28" t="s">
        <v>82</v>
      </c>
      <c r="F48" s="29">
        <v>0</v>
      </c>
      <c r="G48" s="39">
        <v>1632526</v>
      </c>
      <c r="H48" s="79"/>
    </row>
    <row r="49" spans="1:8" ht="30" customHeight="1" x14ac:dyDescent="0.35">
      <c r="A49" s="83" t="s">
        <v>29</v>
      </c>
      <c r="B49" s="83"/>
      <c r="C49" s="44" t="s">
        <v>30</v>
      </c>
      <c r="D49" s="38" t="s">
        <v>49</v>
      </c>
      <c r="E49" s="28" t="s">
        <v>82</v>
      </c>
      <c r="F49" s="29">
        <v>0</v>
      </c>
      <c r="G49" s="39">
        <v>1752540</v>
      </c>
      <c r="H49" s="79"/>
    </row>
    <row r="50" spans="1:8" ht="30" customHeight="1" x14ac:dyDescent="0.35">
      <c r="A50" s="83" t="s">
        <v>29</v>
      </c>
      <c r="B50" s="83"/>
      <c r="C50" s="44" t="s">
        <v>30</v>
      </c>
      <c r="D50" s="38" t="s">
        <v>49</v>
      </c>
      <c r="E50" s="28" t="s">
        <v>82</v>
      </c>
      <c r="F50" s="29">
        <v>0</v>
      </c>
      <c r="G50" s="39">
        <v>1864577</v>
      </c>
      <c r="H50" s="79"/>
    </row>
    <row r="51" spans="1:8" ht="30" customHeight="1" x14ac:dyDescent="0.35">
      <c r="A51" s="83" t="s">
        <v>29</v>
      </c>
      <c r="B51" s="83"/>
      <c r="C51" s="44" t="s">
        <v>30</v>
      </c>
      <c r="D51" s="38" t="s">
        <v>49</v>
      </c>
      <c r="E51" s="28" t="s">
        <v>82</v>
      </c>
      <c r="F51" s="29">
        <v>0</v>
      </c>
      <c r="G51" s="39">
        <v>1914159</v>
      </c>
      <c r="H51" s="79"/>
    </row>
    <row r="52" spans="1:8" ht="30" customHeight="1" x14ac:dyDescent="0.35">
      <c r="A52" s="83" t="s">
        <v>29</v>
      </c>
      <c r="B52" s="83"/>
      <c r="C52" s="44" t="s">
        <v>30</v>
      </c>
      <c r="D52" s="38" t="s">
        <v>49</v>
      </c>
      <c r="E52" s="28" t="s">
        <v>82</v>
      </c>
      <c r="F52" s="29">
        <v>0</v>
      </c>
      <c r="G52" s="39">
        <v>2230406</v>
      </c>
      <c r="H52" s="79"/>
    </row>
    <row r="53" spans="1:8" ht="30" customHeight="1" x14ac:dyDescent="0.35">
      <c r="A53" s="83" t="s">
        <v>29</v>
      </c>
      <c r="B53" s="83"/>
      <c r="C53" s="44" t="s">
        <v>30</v>
      </c>
      <c r="D53" s="38" t="s">
        <v>49</v>
      </c>
      <c r="E53" s="28" t="s">
        <v>82</v>
      </c>
      <c r="F53" s="29">
        <v>0</v>
      </c>
      <c r="G53" s="39">
        <v>2355838</v>
      </c>
      <c r="H53" s="79"/>
    </row>
    <row r="54" spans="1:8" ht="30" customHeight="1" x14ac:dyDescent="0.35">
      <c r="A54" s="83" t="s">
        <v>29</v>
      </c>
      <c r="B54" s="83"/>
      <c r="C54" s="44" t="s">
        <v>30</v>
      </c>
      <c r="D54" s="38" t="s">
        <v>49</v>
      </c>
      <c r="E54" s="28" t="s">
        <v>82</v>
      </c>
      <c r="F54" s="29">
        <v>0</v>
      </c>
      <c r="G54" s="39">
        <v>2363581</v>
      </c>
      <c r="H54" s="79"/>
    </row>
    <row r="55" spans="1:8" ht="30" customHeight="1" x14ac:dyDescent="0.35">
      <c r="A55" s="83" t="s">
        <v>29</v>
      </c>
      <c r="B55" s="83"/>
      <c r="C55" s="44" t="s">
        <v>30</v>
      </c>
      <c r="D55" s="38" t="s">
        <v>49</v>
      </c>
      <c r="E55" s="28" t="s">
        <v>82</v>
      </c>
      <c r="F55" s="29">
        <v>0</v>
      </c>
      <c r="G55" s="39">
        <v>2628486</v>
      </c>
      <c r="H55" s="79"/>
    </row>
    <row r="56" spans="1:8" ht="30" customHeight="1" x14ac:dyDescent="0.35">
      <c r="A56" s="83" t="s">
        <v>29</v>
      </c>
      <c r="B56" s="83"/>
      <c r="C56" s="44" t="s">
        <v>30</v>
      </c>
      <c r="D56" s="38" t="s">
        <v>49</v>
      </c>
      <c r="E56" s="28" t="s">
        <v>82</v>
      </c>
      <c r="F56" s="29">
        <v>0</v>
      </c>
      <c r="G56" s="39">
        <v>3138817</v>
      </c>
      <c r="H56" s="79"/>
    </row>
    <row r="57" spans="1:8" ht="30" customHeight="1" x14ac:dyDescent="0.35">
      <c r="A57" s="83" t="s">
        <v>29</v>
      </c>
      <c r="B57" s="83"/>
      <c r="C57" s="44" t="s">
        <v>30</v>
      </c>
      <c r="D57" s="38" t="s">
        <v>49</v>
      </c>
      <c r="E57" s="28" t="s">
        <v>82</v>
      </c>
      <c r="F57" s="29">
        <v>0</v>
      </c>
      <c r="G57" s="39">
        <v>3148916</v>
      </c>
      <c r="H57" s="79"/>
    </row>
    <row r="58" spans="1:8" ht="30" customHeight="1" x14ac:dyDescent="0.35">
      <c r="A58" s="83" t="s">
        <v>29</v>
      </c>
      <c r="B58" s="83"/>
      <c r="C58" s="44" t="s">
        <v>30</v>
      </c>
      <c r="D58" s="38" t="s">
        <v>49</v>
      </c>
      <c r="E58" s="28" t="s">
        <v>82</v>
      </c>
      <c r="F58" s="29">
        <v>0</v>
      </c>
      <c r="G58" s="39">
        <v>3183441</v>
      </c>
      <c r="H58" s="79"/>
    </row>
    <row r="59" spans="1:8" ht="30" customHeight="1" thickBot="1" x14ac:dyDescent="0.4">
      <c r="A59" s="83" t="s">
        <v>29</v>
      </c>
      <c r="B59" s="83"/>
      <c r="C59" s="44" t="s">
        <v>30</v>
      </c>
      <c r="D59" s="40" t="s">
        <v>49</v>
      </c>
      <c r="E59" s="41" t="s">
        <v>82</v>
      </c>
      <c r="F59" s="42">
        <v>0</v>
      </c>
      <c r="G59" s="43">
        <v>3648049</v>
      </c>
      <c r="H59" s="79"/>
    </row>
    <row r="60" spans="1:8" ht="20.100000000000001" customHeight="1" thickBot="1" x14ac:dyDescent="0.4">
      <c r="A60" s="6"/>
      <c r="B60" s="6"/>
      <c r="C60" s="6"/>
      <c r="D60" s="15"/>
      <c r="E60" s="15"/>
      <c r="F60" s="50" t="s">
        <v>75</v>
      </c>
      <c r="G60" s="51">
        <f>SUM(G44:G59)</f>
        <v>34444580</v>
      </c>
      <c r="H60" s="79">
        <v>1080</v>
      </c>
    </row>
    <row r="61" spans="1:8" ht="32.25" thickBot="1" x14ac:dyDescent="0.4">
      <c r="A61" s="83" t="s">
        <v>29</v>
      </c>
      <c r="B61" s="83"/>
      <c r="C61" s="6" t="s">
        <v>30</v>
      </c>
      <c r="D61" s="6" t="s">
        <v>54</v>
      </c>
      <c r="E61" s="26" t="s">
        <v>83</v>
      </c>
      <c r="F61" s="45">
        <v>0</v>
      </c>
      <c r="G61" s="46">
        <v>1364327</v>
      </c>
      <c r="H61" s="79">
        <v>1081</v>
      </c>
    </row>
    <row r="62" spans="1:8" ht="32.25" thickBot="1" x14ac:dyDescent="0.4">
      <c r="A62" s="83" t="s">
        <v>29</v>
      </c>
      <c r="B62" s="83"/>
      <c r="C62" s="6" t="s">
        <v>30</v>
      </c>
      <c r="D62" s="52" t="s">
        <v>44</v>
      </c>
      <c r="E62" s="53" t="s">
        <v>84</v>
      </c>
      <c r="F62" s="54">
        <v>0</v>
      </c>
      <c r="G62" s="55">
        <v>15727</v>
      </c>
      <c r="H62" s="79">
        <v>1082</v>
      </c>
    </row>
    <row r="63" spans="1:8" ht="30" customHeight="1" x14ac:dyDescent="0.35">
      <c r="A63" s="83" t="s">
        <v>29</v>
      </c>
      <c r="B63" s="83"/>
      <c r="C63" s="44" t="s">
        <v>30</v>
      </c>
      <c r="D63" s="34" t="s">
        <v>51</v>
      </c>
      <c r="E63" s="35" t="s">
        <v>85</v>
      </c>
      <c r="F63" s="36">
        <v>0</v>
      </c>
      <c r="G63" s="37">
        <v>13037829</v>
      </c>
      <c r="H63" s="79"/>
    </row>
    <row r="64" spans="1:8" ht="30" customHeight="1" x14ac:dyDescent="0.35">
      <c r="A64" s="83" t="s">
        <v>29</v>
      </c>
      <c r="B64" s="83"/>
      <c r="C64" s="44" t="s">
        <v>30</v>
      </c>
      <c r="D64" s="38" t="s">
        <v>51</v>
      </c>
      <c r="E64" s="28" t="s">
        <v>85</v>
      </c>
      <c r="F64" s="29">
        <v>0</v>
      </c>
      <c r="G64" s="39">
        <v>17393162</v>
      </c>
      <c r="H64" s="79"/>
    </row>
    <row r="65" spans="1:8" ht="30" customHeight="1" x14ac:dyDescent="0.35">
      <c r="A65" s="83" t="s">
        <v>29</v>
      </c>
      <c r="B65" s="83"/>
      <c r="C65" s="44" t="s">
        <v>30</v>
      </c>
      <c r="D65" s="38" t="s">
        <v>51</v>
      </c>
      <c r="E65" s="28" t="s">
        <v>85</v>
      </c>
      <c r="F65" s="29">
        <v>0</v>
      </c>
      <c r="G65" s="39">
        <v>28848708</v>
      </c>
      <c r="H65" s="79"/>
    </row>
    <row r="66" spans="1:8" ht="30" customHeight="1" x14ac:dyDescent="0.35">
      <c r="A66" s="83" t="s">
        <v>29</v>
      </c>
      <c r="B66" s="83"/>
      <c r="C66" s="44" t="s">
        <v>30</v>
      </c>
      <c r="D66" s="38" t="s">
        <v>51</v>
      </c>
      <c r="E66" s="28" t="s">
        <v>85</v>
      </c>
      <c r="F66" s="29">
        <v>0</v>
      </c>
      <c r="G66" s="39">
        <v>9876985</v>
      </c>
      <c r="H66" s="79"/>
    </row>
    <row r="67" spans="1:8" ht="30" customHeight="1" thickBot="1" x14ac:dyDescent="0.4">
      <c r="A67" s="83" t="s">
        <v>29</v>
      </c>
      <c r="B67" s="83"/>
      <c r="C67" s="44" t="s">
        <v>30</v>
      </c>
      <c r="D67" s="40" t="s">
        <v>51</v>
      </c>
      <c r="E67" s="41" t="s">
        <v>85</v>
      </c>
      <c r="F67" s="42">
        <v>0</v>
      </c>
      <c r="G67" s="43">
        <v>10679563</v>
      </c>
      <c r="H67" s="79"/>
    </row>
    <row r="68" spans="1:8" ht="20.100000000000001" customHeight="1" thickBot="1" x14ac:dyDescent="0.4">
      <c r="A68" s="6"/>
      <c r="B68" s="6"/>
      <c r="C68" s="6"/>
      <c r="D68" s="56"/>
      <c r="E68" s="56"/>
      <c r="F68" s="57" t="s">
        <v>75</v>
      </c>
      <c r="G68" s="58">
        <f>SUM(G63:G67)</f>
        <v>79836247</v>
      </c>
      <c r="H68" s="79">
        <v>1083</v>
      </c>
    </row>
    <row r="69" spans="1:8" ht="31.5" x14ac:dyDescent="0.35">
      <c r="A69" s="83" t="s">
        <v>29</v>
      </c>
      <c r="B69" s="83"/>
      <c r="C69" s="44" t="s">
        <v>30</v>
      </c>
      <c r="D69" s="34" t="s">
        <v>56</v>
      </c>
      <c r="E69" s="35" t="s">
        <v>86</v>
      </c>
      <c r="F69" s="36">
        <v>0</v>
      </c>
      <c r="G69" s="37">
        <v>1856398</v>
      </c>
      <c r="H69" s="79"/>
    </row>
    <row r="70" spans="1:8" ht="32.25" thickBot="1" x14ac:dyDescent="0.4">
      <c r="A70" s="83" t="s">
        <v>29</v>
      </c>
      <c r="B70" s="83"/>
      <c r="C70" s="44" t="s">
        <v>30</v>
      </c>
      <c r="D70" s="40" t="s">
        <v>56</v>
      </c>
      <c r="E70" s="41" t="s">
        <v>86</v>
      </c>
      <c r="F70" s="42">
        <v>0</v>
      </c>
      <c r="G70" s="43">
        <v>4675272</v>
      </c>
      <c r="H70" s="79"/>
    </row>
    <row r="71" spans="1:8" ht="21.75" thickBot="1" x14ac:dyDescent="0.4">
      <c r="A71" s="6"/>
      <c r="B71" s="6"/>
      <c r="C71" s="6"/>
      <c r="D71" s="15"/>
      <c r="E71" s="15"/>
      <c r="F71" s="50" t="s">
        <v>75</v>
      </c>
      <c r="G71" s="51">
        <f>SUM(G69:G70)</f>
        <v>6531670</v>
      </c>
      <c r="H71" s="79">
        <v>1084</v>
      </c>
    </row>
    <row r="72" spans="1:8" ht="32.25" thickBot="1" x14ac:dyDescent="0.4">
      <c r="A72" s="83" t="s">
        <v>29</v>
      </c>
      <c r="B72" s="83"/>
      <c r="C72" s="6" t="s">
        <v>30</v>
      </c>
      <c r="D72" s="6" t="s">
        <v>41</v>
      </c>
      <c r="E72" s="26" t="s">
        <v>87</v>
      </c>
      <c r="F72" s="45">
        <v>0</v>
      </c>
      <c r="G72" s="46">
        <v>10657</v>
      </c>
      <c r="H72" s="79">
        <v>1085</v>
      </c>
    </row>
    <row r="73" spans="1:8" ht="32.25" thickBot="1" x14ac:dyDescent="0.4">
      <c r="A73" s="83" t="s">
        <v>29</v>
      </c>
      <c r="B73" s="83"/>
      <c r="C73" s="6" t="s">
        <v>30</v>
      </c>
      <c r="D73" s="6" t="s">
        <v>45</v>
      </c>
      <c r="E73" s="26" t="s">
        <v>88</v>
      </c>
      <c r="F73" s="45">
        <v>0</v>
      </c>
      <c r="G73" s="46">
        <v>26739</v>
      </c>
      <c r="H73" s="79">
        <v>1086</v>
      </c>
    </row>
    <row r="74" spans="1:8" ht="32.25" thickBot="1" x14ac:dyDescent="0.4">
      <c r="A74" s="83" t="s">
        <v>29</v>
      </c>
      <c r="B74" s="83"/>
      <c r="C74" s="6" t="s">
        <v>30</v>
      </c>
      <c r="D74" s="6" t="s">
        <v>46</v>
      </c>
      <c r="E74" s="26" t="s">
        <v>89</v>
      </c>
      <c r="F74" s="45">
        <v>0</v>
      </c>
      <c r="G74" s="46">
        <v>28475</v>
      </c>
      <c r="H74" s="79">
        <v>1087</v>
      </c>
    </row>
    <row r="75" spans="1:8" ht="32.25" thickBot="1" x14ac:dyDescent="0.4">
      <c r="A75" s="83" t="s">
        <v>29</v>
      </c>
      <c r="B75" s="83"/>
      <c r="C75" s="6" t="s">
        <v>30</v>
      </c>
      <c r="D75" s="6" t="s">
        <v>43</v>
      </c>
      <c r="E75" s="26" t="s">
        <v>90</v>
      </c>
      <c r="F75" s="45">
        <v>0</v>
      </c>
      <c r="G75" s="46">
        <v>15667</v>
      </c>
      <c r="H75" s="79">
        <v>1088</v>
      </c>
    </row>
    <row r="76" spans="1:8" ht="32.25" thickBot="1" x14ac:dyDescent="0.4">
      <c r="A76" s="83" t="s">
        <v>29</v>
      </c>
      <c r="B76" s="83"/>
      <c r="C76" s="6" t="s">
        <v>30</v>
      </c>
      <c r="D76" s="6" t="s">
        <v>53</v>
      </c>
      <c r="E76" s="26" t="s">
        <v>91</v>
      </c>
      <c r="F76" s="45">
        <v>0</v>
      </c>
      <c r="G76" s="46">
        <v>1053460</v>
      </c>
      <c r="H76" s="79">
        <v>1089</v>
      </c>
    </row>
    <row r="77" spans="1:8" ht="32.25" thickBot="1" x14ac:dyDescent="0.4">
      <c r="A77" s="83" t="s">
        <v>29</v>
      </c>
      <c r="B77" s="83"/>
      <c r="C77" s="6" t="s">
        <v>30</v>
      </c>
      <c r="D77" s="6" t="s">
        <v>57</v>
      </c>
      <c r="E77" s="26" t="s">
        <v>92</v>
      </c>
      <c r="F77" s="45">
        <v>0</v>
      </c>
      <c r="G77" s="46">
        <v>4169241</v>
      </c>
      <c r="H77" s="79">
        <v>1090</v>
      </c>
    </row>
    <row r="78" spans="1:8" ht="32.25" thickBot="1" x14ac:dyDescent="0.4">
      <c r="A78" s="83" t="s">
        <v>29</v>
      </c>
      <c r="B78" s="83"/>
      <c r="C78" s="6" t="s">
        <v>30</v>
      </c>
      <c r="D78" s="6" t="s">
        <v>47</v>
      </c>
      <c r="E78" s="26" t="s">
        <v>93</v>
      </c>
      <c r="F78" s="45">
        <v>0</v>
      </c>
      <c r="G78" s="46">
        <v>32382</v>
      </c>
      <c r="H78" s="79">
        <v>1091</v>
      </c>
    </row>
    <row r="79" spans="1:8" ht="32.25" thickBot="1" x14ac:dyDescent="0.4">
      <c r="A79" s="83" t="s">
        <v>29</v>
      </c>
      <c r="B79" s="83"/>
      <c r="C79" s="6" t="s">
        <v>35</v>
      </c>
      <c r="D79" s="6" t="s">
        <v>36</v>
      </c>
      <c r="E79" s="26" t="s">
        <v>94</v>
      </c>
      <c r="F79" s="45">
        <v>0</v>
      </c>
      <c r="G79" s="46">
        <v>5010</v>
      </c>
      <c r="H79" s="79">
        <v>1092</v>
      </c>
    </row>
    <row r="80" spans="1:8" ht="32.25" thickBot="1" x14ac:dyDescent="0.4">
      <c r="A80" s="83" t="s">
        <v>29</v>
      </c>
      <c r="B80" s="83"/>
      <c r="C80" s="6" t="s">
        <v>33</v>
      </c>
      <c r="D80" s="6" t="s">
        <v>34</v>
      </c>
      <c r="E80" s="26" t="s">
        <v>95</v>
      </c>
      <c r="F80" s="45">
        <v>0</v>
      </c>
      <c r="G80" s="46">
        <v>1432</v>
      </c>
      <c r="H80" s="79">
        <v>1093</v>
      </c>
    </row>
    <row r="81" spans="1:8" ht="30" x14ac:dyDescent="0.25">
      <c r="A81" s="83" t="s">
        <v>29</v>
      </c>
      <c r="B81" s="83"/>
      <c r="C81" s="6" t="s">
        <v>30</v>
      </c>
      <c r="D81" s="6" t="s">
        <v>31</v>
      </c>
      <c r="E81" s="6" t="s">
        <v>32</v>
      </c>
      <c r="F81" s="7">
        <v>66201</v>
      </c>
      <c r="G81" s="77">
        <v>0</v>
      </c>
      <c r="H81" s="8"/>
    </row>
    <row r="82" spans="1:8" x14ac:dyDescent="0.25">
      <c r="A82" s="9"/>
      <c r="B82" s="9"/>
      <c r="C82" s="9"/>
      <c r="D82" s="9"/>
      <c r="E82" s="9"/>
      <c r="F82" s="10"/>
      <c r="G82" s="7">
        <f>G19+G24+G30+G31+G34+G41+G42+G43+G60+G61+G62+G68+G71+G72+G73+G74+G75+G76+G77+G78+G79+G80</f>
        <v>300150750</v>
      </c>
      <c r="H82" s="11"/>
    </row>
    <row r="83" spans="1:8" x14ac:dyDescent="0.25">
      <c r="A83" s="9"/>
      <c r="B83" s="9"/>
      <c r="C83" s="9"/>
      <c r="D83" s="9"/>
      <c r="E83" s="9"/>
      <c r="F83" s="10"/>
      <c r="G83" s="10"/>
      <c r="H83" s="11"/>
    </row>
    <row r="84" spans="1:8" x14ac:dyDescent="0.25">
      <c r="A84" s="9"/>
      <c r="B84" s="9"/>
      <c r="C84" s="9"/>
      <c r="D84" s="9"/>
      <c r="E84" s="9"/>
      <c r="F84" s="10"/>
      <c r="G84" s="10"/>
      <c r="H84" s="11"/>
    </row>
    <row r="85" spans="1:8" x14ac:dyDescent="0.25">
      <c r="A85" s="9"/>
      <c r="B85" s="9"/>
      <c r="C85" s="9"/>
      <c r="D85" s="9"/>
      <c r="E85" s="9"/>
      <c r="F85" s="10"/>
      <c r="G85" s="10"/>
      <c r="H85" s="11"/>
    </row>
    <row r="86" spans="1:8" x14ac:dyDescent="0.25">
      <c r="A86" s="9"/>
      <c r="B86" s="9"/>
      <c r="C86" s="9"/>
      <c r="D86" s="9"/>
      <c r="E86" s="9"/>
      <c r="F86" s="10"/>
      <c r="G86" s="10"/>
      <c r="H86" s="11"/>
    </row>
    <row r="87" spans="1:8" x14ac:dyDescent="0.25">
      <c r="A87" s="9"/>
      <c r="B87" s="9"/>
      <c r="C87" s="9"/>
      <c r="D87" s="9"/>
      <c r="E87" s="9"/>
      <c r="F87" s="10"/>
      <c r="G87" s="10"/>
      <c r="H87" s="11"/>
    </row>
    <row r="88" spans="1:8" x14ac:dyDescent="0.25">
      <c r="A88" s="9"/>
      <c r="B88" s="9"/>
      <c r="C88" s="9"/>
      <c r="D88" s="9"/>
      <c r="E88" s="9"/>
      <c r="F88" s="10"/>
      <c r="G88" s="10"/>
      <c r="H88" s="11"/>
    </row>
    <row r="89" spans="1:8" x14ac:dyDescent="0.25">
      <c r="A89" s="86"/>
      <c r="B89" s="86"/>
      <c r="C89" s="86"/>
      <c r="D89" s="86"/>
      <c r="E89" s="86"/>
      <c r="F89" s="86"/>
      <c r="G89" s="86"/>
    </row>
    <row r="90" spans="1:8" x14ac:dyDescent="0.25">
      <c r="A90" s="85"/>
      <c r="B90" s="85"/>
      <c r="C90" s="85"/>
      <c r="D90" s="85"/>
      <c r="E90" s="85"/>
      <c r="F90" s="85"/>
      <c r="G90" s="85"/>
    </row>
    <row r="91" spans="1:8" ht="15" customHeight="1" x14ac:dyDescent="0.25">
      <c r="A91" s="84" t="s">
        <v>59</v>
      </c>
      <c r="B91" s="84"/>
      <c r="C91" s="84"/>
      <c r="D91" s="84"/>
      <c r="E91" s="84"/>
      <c r="F91" s="84"/>
      <c r="G91" s="84"/>
    </row>
    <row r="92" spans="1:8" x14ac:dyDescent="0.25">
      <c r="A92" s="85"/>
      <c r="B92" s="85"/>
      <c r="C92" s="85"/>
      <c r="D92" s="85"/>
      <c r="E92" s="85"/>
      <c r="F92" s="85"/>
      <c r="G92" s="85"/>
    </row>
    <row r="93" spans="1:8" x14ac:dyDescent="0.25">
      <c r="A93" s="6" t="s">
        <v>60</v>
      </c>
      <c r="B93" s="12">
        <v>5315276898</v>
      </c>
      <c r="C93" s="8"/>
    </row>
    <row r="94" spans="1:8" x14ac:dyDescent="0.25">
      <c r="A94" s="6" t="s">
        <v>61</v>
      </c>
      <c r="B94" s="13">
        <v>0</v>
      </c>
      <c r="C94" s="8"/>
    </row>
    <row r="95" spans="1:8" x14ac:dyDescent="0.25">
      <c r="A95" s="6" t="s">
        <v>62</v>
      </c>
      <c r="B95" s="12">
        <v>66201</v>
      </c>
      <c r="C95" s="8"/>
    </row>
    <row r="96" spans="1:8" x14ac:dyDescent="0.25">
      <c r="A96" s="6" t="s">
        <v>63</v>
      </c>
      <c r="B96" s="12">
        <v>6442</v>
      </c>
      <c r="C96" s="14">
        <f>B96+B97</f>
        <v>300150750</v>
      </c>
    </row>
    <row r="97" spans="1:3" x14ac:dyDescent="0.25">
      <c r="A97" s="6" t="s">
        <v>64</v>
      </c>
      <c r="B97" s="12">
        <v>300144308</v>
      </c>
      <c r="C97" s="8"/>
    </row>
    <row r="98" spans="1:3" x14ac:dyDescent="0.25">
      <c r="A98" s="6" t="s">
        <v>65</v>
      </c>
      <c r="B98" s="7">
        <v>5615361447</v>
      </c>
      <c r="C98" s="8"/>
    </row>
    <row r="99" spans="1:3" x14ac:dyDescent="0.25">
      <c r="A99" s="5"/>
    </row>
    <row r="100" spans="1:3" x14ac:dyDescent="0.25">
      <c r="A100" s="5"/>
    </row>
    <row r="101" spans="1:3" x14ac:dyDescent="0.25">
      <c r="A101" s="5"/>
    </row>
  </sheetData>
  <sortState xmlns:xlrd2="http://schemas.microsoft.com/office/spreadsheetml/2017/richdata2" ref="C19:G81">
    <sortCondition ref="D19:D81"/>
  </sortState>
  <mergeCells count="70"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32:B32"/>
    <mergeCell ref="A19:B19"/>
    <mergeCell ref="A20:B20"/>
    <mergeCell ref="A21:B21"/>
    <mergeCell ref="A22:B22"/>
    <mergeCell ref="A23:B23"/>
    <mergeCell ref="A25:B25"/>
    <mergeCell ref="A26:B26"/>
    <mergeCell ref="A27:B27"/>
    <mergeCell ref="A28:B28"/>
    <mergeCell ref="A29:B29"/>
    <mergeCell ref="A31:B31"/>
    <mergeCell ref="A46:B46"/>
    <mergeCell ref="A33:B33"/>
    <mergeCell ref="A35:B35"/>
    <mergeCell ref="A36:B36"/>
    <mergeCell ref="A37:B37"/>
    <mergeCell ref="A38:B38"/>
    <mergeCell ref="A39:B39"/>
    <mergeCell ref="A40:B40"/>
    <mergeCell ref="A42:B42"/>
    <mergeCell ref="A43:B43"/>
    <mergeCell ref="A44:B44"/>
    <mergeCell ref="A45:B45"/>
    <mergeCell ref="A58:B58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78:B78"/>
    <mergeCell ref="A79:B79"/>
    <mergeCell ref="A61:B61"/>
    <mergeCell ref="A62:B62"/>
    <mergeCell ref="A63:B63"/>
    <mergeCell ref="A64:B64"/>
    <mergeCell ref="A65:B65"/>
    <mergeCell ref="A73:B73"/>
    <mergeCell ref="A59:B59"/>
    <mergeCell ref="A91:G91"/>
    <mergeCell ref="A92:G92"/>
    <mergeCell ref="A80:B80"/>
    <mergeCell ref="A81:B81"/>
    <mergeCell ref="A89:G89"/>
    <mergeCell ref="A66:B66"/>
    <mergeCell ref="A67:B67"/>
    <mergeCell ref="A69:B69"/>
    <mergeCell ref="A70:B70"/>
    <mergeCell ref="A72:B72"/>
    <mergeCell ref="A90:G90"/>
    <mergeCell ref="A74:B74"/>
    <mergeCell ref="A75:B75"/>
    <mergeCell ref="A76:B76"/>
    <mergeCell ref="A77:B77"/>
  </mergeCells>
  <pageMargins left="0.75" right="0.75" top="1" bottom="1" header="0.5" footer="0.5"/>
  <pageSetup scale="6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41"/>
  <sheetViews>
    <sheetView tabSelected="1" workbookViewId="0">
      <selection activeCell="L20" sqref="L20"/>
    </sheetView>
  </sheetViews>
  <sheetFormatPr baseColWidth="10" defaultRowHeight="15" x14ac:dyDescent="0.25"/>
  <cols>
    <col min="1" max="1" width="17.85546875" bestFit="1" customWidth="1"/>
    <col min="2" max="2" width="14.140625" customWidth="1"/>
    <col min="3" max="3" width="16.140625" bestFit="1" customWidth="1"/>
    <col min="4" max="4" width="12.7109375" bestFit="1" customWidth="1"/>
    <col min="5" max="5" width="43" customWidth="1"/>
    <col min="6" max="6" width="9.5703125" bestFit="1" customWidth="1"/>
    <col min="7" max="7" width="10.7109375" bestFit="1" customWidth="1"/>
  </cols>
  <sheetData>
    <row r="1" spans="1:7" ht="18" x14ac:dyDescent="0.25">
      <c r="A1" s="90" t="s">
        <v>0</v>
      </c>
      <c r="B1" s="90"/>
      <c r="C1" s="90"/>
      <c r="D1" s="90"/>
      <c r="E1" s="90"/>
    </row>
    <row r="2" spans="1:7" x14ac:dyDescent="0.25">
      <c r="A2" s="85"/>
      <c r="B2" s="85"/>
      <c r="C2" s="85"/>
      <c r="D2" s="85"/>
      <c r="E2" s="85"/>
      <c r="F2" s="85"/>
    </row>
    <row r="3" spans="1:7" ht="15" customHeight="1" x14ac:dyDescent="0.25">
      <c r="A3" s="84" t="s">
        <v>1</v>
      </c>
      <c r="B3" s="84"/>
      <c r="C3" s="84"/>
      <c r="D3" s="84"/>
      <c r="E3" s="84"/>
    </row>
    <row r="4" spans="1:7" x14ac:dyDescent="0.25">
      <c r="A4" s="85"/>
      <c r="B4" s="85"/>
      <c r="C4" s="85"/>
      <c r="D4" s="85"/>
      <c r="E4" s="85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43902</v>
      </c>
    </row>
    <row r="8" spans="1:7" ht="60" x14ac:dyDescent="0.25">
      <c r="A8" s="2" t="s">
        <v>12</v>
      </c>
      <c r="B8" s="1" t="s">
        <v>69</v>
      </c>
      <c r="C8" s="1"/>
      <c r="D8" s="1"/>
      <c r="E8" s="1"/>
    </row>
    <row r="9" spans="1:7" ht="18.75" x14ac:dyDescent="0.3">
      <c r="A9" s="1"/>
      <c r="F9" s="19" t="s">
        <v>70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39</v>
      </c>
      <c r="C12" s="1"/>
      <c r="D12" s="2" t="s">
        <v>16</v>
      </c>
      <c r="E12" s="4">
        <v>43900</v>
      </c>
    </row>
    <row r="13" spans="1:7" x14ac:dyDescent="0.25">
      <c r="A13" s="2" t="s">
        <v>17</v>
      </c>
      <c r="B13" s="3">
        <v>4</v>
      </c>
      <c r="C13" s="1"/>
      <c r="D13" s="2" t="s">
        <v>18</v>
      </c>
      <c r="E13" s="4">
        <v>43900</v>
      </c>
    </row>
    <row r="14" spans="1:7" x14ac:dyDescent="0.25">
      <c r="A14" s="2" t="s">
        <v>19</v>
      </c>
      <c r="B14" s="4">
        <v>43900</v>
      </c>
      <c r="C14" s="1"/>
      <c r="D14" s="1"/>
      <c r="E14" s="1"/>
    </row>
    <row r="15" spans="1:7" ht="15" customHeight="1" x14ac:dyDescent="0.25">
      <c r="A15" s="84" t="s">
        <v>20</v>
      </c>
      <c r="B15" s="84"/>
      <c r="C15" s="84"/>
      <c r="D15" s="84"/>
      <c r="E15" s="84"/>
      <c r="F15" s="84"/>
      <c r="G15" s="84"/>
    </row>
    <row r="16" spans="1:7" ht="15.75" thickBot="1" x14ac:dyDescent="0.3">
      <c r="A16" s="85"/>
      <c r="B16" s="85"/>
      <c r="C16" s="85"/>
      <c r="D16" s="85"/>
      <c r="E16" s="85"/>
      <c r="F16" s="85"/>
      <c r="G16" s="85"/>
    </row>
    <row r="17" spans="1:8" x14ac:dyDescent="0.25">
      <c r="A17" s="91" t="s">
        <v>21</v>
      </c>
      <c r="B17" s="92"/>
      <c r="C17" s="92" t="s">
        <v>22</v>
      </c>
      <c r="D17" s="92" t="s">
        <v>23</v>
      </c>
      <c r="E17" s="92" t="s">
        <v>24</v>
      </c>
      <c r="F17" s="16" t="s">
        <v>25</v>
      </c>
      <c r="G17" s="16" t="s">
        <v>27</v>
      </c>
      <c r="H17" s="17" t="s">
        <v>99</v>
      </c>
    </row>
    <row r="18" spans="1:8" ht="15.75" thickBot="1" x14ac:dyDescent="0.3">
      <c r="A18" s="93"/>
      <c r="B18" s="94"/>
      <c r="C18" s="94"/>
      <c r="D18" s="95"/>
      <c r="E18" s="95"/>
      <c r="F18" s="27" t="s">
        <v>26</v>
      </c>
      <c r="G18" s="27" t="s">
        <v>28</v>
      </c>
      <c r="H18" s="18" t="s">
        <v>100</v>
      </c>
    </row>
    <row r="19" spans="1:8" ht="30" x14ac:dyDescent="0.25">
      <c r="A19" s="96" t="s">
        <v>29</v>
      </c>
      <c r="B19" s="96"/>
      <c r="C19" s="64" t="s">
        <v>30</v>
      </c>
      <c r="D19" s="68" t="s">
        <v>71</v>
      </c>
      <c r="E19" s="69" t="s">
        <v>96</v>
      </c>
      <c r="F19" s="70">
        <v>0</v>
      </c>
      <c r="G19" s="71">
        <v>49659</v>
      </c>
      <c r="H19" s="81">
        <v>1173</v>
      </c>
    </row>
    <row r="20" spans="1:8" ht="30.75" thickBot="1" x14ac:dyDescent="0.3">
      <c r="A20" s="97" t="s">
        <v>29</v>
      </c>
      <c r="B20" s="97"/>
      <c r="C20" s="65" t="s">
        <v>30</v>
      </c>
      <c r="D20" s="72" t="s">
        <v>74</v>
      </c>
      <c r="E20" s="73" t="s">
        <v>96</v>
      </c>
      <c r="F20" s="74">
        <v>0</v>
      </c>
      <c r="G20" s="75">
        <v>7256653</v>
      </c>
      <c r="H20" s="82">
        <v>1174</v>
      </c>
    </row>
    <row r="21" spans="1:8" ht="23.25" thickBot="1" x14ac:dyDescent="0.3">
      <c r="A21" s="60"/>
      <c r="B21" s="60"/>
      <c r="C21" s="60"/>
      <c r="D21" s="59"/>
      <c r="E21" s="80" t="s">
        <v>101</v>
      </c>
      <c r="F21" s="66" t="s">
        <v>75</v>
      </c>
      <c r="G21" s="67">
        <f>SUM(G19:G20)</f>
        <v>7306312</v>
      </c>
      <c r="H21" s="82"/>
    </row>
    <row r="22" spans="1:8" ht="30.75" thickBot="1" x14ac:dyDescent="0.3">
      <c r="A22" s="97" t="s">
        <v>29</v>
      </c>
      <c r="B22" s="97"/>
      <c r="C22" s="21" t="s">
        <v>30</v>
      </c>
      <c r="D22" s="21" t="s">
        <v>72</v>
      </c>
      <c r="E22" s="63" t="s">
        <v>97</v>
      </c>
      <c r="F22" s="61">
        <v>0</v>
      </c>
      <c r="G22" s="62">
        <v>353212</v>
      </c>
      <c r="H22" s="82">
        <v>1169</v>
      </c>
    </row>
    <row r="23" spans="1:8" ht="30.75" thickBot="1" x14ac:dyDescent="0.3">
      <c r="A23" s="97" t="s">
        <v>29</v>
      </c>
      <c r="B23" s="97"/>
      <c r="C23" s="21" t="s">
        <v>30</v>
      </c>
      <c r="D23" s="21" t="s">
        <v>73</v>
      </c>
      <c r="E23" s="63" t="s">
        <v>98</v>
      </c>
      <c r="F23" s="61">
        <v>0</v>
      </c>
      <c r="G23" s="62">
        <v>1722327</v>
      </c>
      <c r="H23" s="82">
        <v>1170</v>
      </c>
    </row>
    <row r="24" spans="1:8" ht="18" customHeight="1" x14ac:dyDescent="0.25">
      <c r="A24" s="22"/>
      <c r="B24" s="22"/>
      <c r="C24" s="22"/>
      <c r="D24" s="22"/>
      <c r="E24" s="22"/>
      <c r="F24" s="23"/>
      <c r="G24" s="20">
        <f>G21+G22+G23</f>
        <v>9381851</v>
      </c>
      <c r="H24" s="24"/>
    </row>
    <row r="25" spans="1:8" ht="18" customHeight="1" x14ac:dyDescent="0.25">
      <c r="A25" s="22"/>
      <c r="B25" s="22"/>
      <c r="C25" s="22"/>
      <c r="D25" s="22"/>
      <c r="E25" s="22"/>
      <c r="F25" s="23"/>
      <c r="G25" s="76"/>
      <c r="H25" s="24"/>
    </row>
    <row r="26" spans="1:8" ht="18" customHeight="1" x14ac:dyDescent="0.25">
      <c r="A26" s="22"/>
      <c r="B26" s="22"/>
      <c r="C26" s="22"/>
      <c r="D26" s="22"/>
      <c r="E26" s="22"/>
      <c r="F26" s="23"/>
      <c r="G26" s="76"/>
      <c r="H26" s="24"/>
    </row>
    <row r="27" spans="1:8" ht="18" customHeight="1" x14ac:dyDescent="0.25">
      <c r="A27" s="22"/>
      <c r="B27" s="22"/>
      <c r="C27" s="22"/>
      <c r="D27" s="22"/>
      <c r="E27" s="22"/>
      <c r="F27" s="23"/>
      <c r="G27" s="76"/>
      <c r="H27" s="24"/>
    </row>
    <row r="28" spans="1:8" ht="18" customHeight="1" x14ac:dyDescent="0.25">
      <c r="A28" s="22"/>
      <c r="B28" s="22"/>
      <c r="C28" s="22"/>
      <c r="D28" s="22"/>
      <c r="E28" s="22"/>
      <c r="F28" s="23"/>
      <c r="G28" s="76"/>
      <c r="H28" s="24"/>
    </row>
    <row r="29" spans="1:8" x14ac:dyDescent="0.25">
      <c r="A29" s="86"/>
      <c r="B29" s="86"/>
      <c r="C29" s="86"/>
      <c r="D29" s="86"/>
      <c r="E29" s="86"/>
      <c r="F29" s="86"/>
      <c r="G29" s="86"/>
    </row>
    <row r="30" spans="1:8" x14ac:dyDescent="0.25">
      <c r="A30" s="85"/>
      <c r="B30" s="85"/>
      <c r="C30" s="85"/>
      <c r="D30" s="85"/>
      <c r="E30" s="85"/>
      <c r="F30" s="85"/>
      <c r="G30" s="85"/>
    </row>
    <row r="31" spans="1:8" ht="15" customHeight="1" x14ac:dyDescent="0.25">
      <c r="A31" s="84" t="s">
        <v>59</v>
      </c>
      <c r="B31" s="84"/>
      <c r="C31" s="84"/>
      <c r="D31" s="84"/>
      <c r="E31" s="84"/>
      <c r="F31" s="84"/>
      <c r="G31" s="84"/>
    </row>
    <row r="32" spans="1:8" x14ac:dyDescent="0.25">
      <c r="A32" s="85"/>
      <c r="B32" s="85"/>
      <c r="C32" s="85"/>
      <c r="D32" s="85"/>
      <c r="E32" s="85"/>
      <c r="F32" s="85"/>
      <c r="G32" s="85"/>
    </row>
    <row r="33" spans="1:3" x14ac:dyDescent="0.25">
      <c r="A33" s="6" t="s">
        <v>60</v>
      </c>
      <c r="B33" s="12">
        <v>2511364602</v>
      </c>
      <c r="C33" s="8"/>
    </row>
    <row r="34" spans="1:3" x14ac:dyDescent="0.25">
      <c r="A34" s="6" t="s">
        <v>61</v>
      </c>
      <c r="B34" s="13">
        <v>0</v>
      </c>
      <c r="C34" s="8"/>
    </row>
    <row r="35" spans="1:3" x14ac:dyDescent="0.25">
      <c r="A35" s="6" t="s">
        <v>62</v>
      </c>
      <c r="B35" s="13">
        <v>0</v>
      </c>
      <c r="C35" s="8"/>
    </row>
    <row r="36" spans="1:3" x14ac:dyDescent="0.25">
      <c r="A36" s="6" t="s">
        <v>63</v>
      </c>
      <c r="B36" s="13">
        <v>0</v>
      </c>
      <c r="C36" s="14">
        <f>B36+B37</f>
        <v>9381851</v>
      </c>
    </row>
    <row r="37" spans="1:3" x14ac:dyDescent="0.25">
      <c r="A37" s="6" t="s">
        <v>64</v>
      </c>
      <c r="B37" s="12">
        <v>9381851</v>
      </c>
      <c r="C37" s="8"/>
    </row>
    <row r="38" spans="1:3" x14ac:dyDescent="0.25">
      <c r="A38" s="6" t="s">
        <v>65</v>
      </c>
      <c r="B38" s="7">
        <v>2520746453</v>
      </c>
      <c r="C38" s="8"/>
    </row>
    <row r="39" spans="1:3" x14ac:dyDescent="0.25">
      <c r="A39" s="5"/>
    </row>
    <row r="40" spans="1:3" x14ac:dyDescent="0.25">
      <c r="A40" s="5"/>
    </row>
    <row r="41" spans="1:3" x14ac:dyDescent="0.25">
      <c r="A41" s="5"/>
    </row>
  </sheetData>
  <mergeCells count="18">
    <mergeCell ref="A16:G16"/>
    <mergeCell ref="A1:E1"/>
    <mergeCell ref="A2:F2"/>
    <mergeCell ref="A3:E3"/>
    <mergeCell ref="A4:E4"/>
    <mergeCell ref="A15:G15"/>
    <mergeCell ref="A32:G32"/>
    <mergeCell ref="A17:B18"/>
    <mergeCell ref="C17:C18"/>
    <mergeCell ref="D17:D18"/>
    <mergeCell ref="E17:E18"/>
    <mergeCell ref="A19:B19"/>
    <mergeCell ref="A22:B22"/>
    <mergeCell ref="A23:B23"/>
    <mergeCell ref="A20:B20"/>
    <mergeCell ref="A29:G29"/>
    <mergeCell ref="A30:G30"/>
    <mergeCell ref="A31:G31"/>
  </mergeCells>
  <pageMargins left="0.7" right="0.7" top="0.75" bottom="0.75" header="0.3" footer="0.3"/>
  <pageSetup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2020-03-16T11:09:06Z</cp:lastPrinted>
  <dcterms:created xsi:type="dcterms:W3CDTF">2020-03-12T18:16:03Z</dcterms:created>
  <dcterms:modified xsi:type="dcterms:W3CDTF">2020-03-24T17:12:46Z</dcterms:modified>
</cp:coreProperties>
</file>